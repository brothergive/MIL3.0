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https://ajouackr-my.sharepoint.com/personal/brothergive_ajou_ac_kr/Documents/1 아주대학교/4. MIL/MIL 3.0/"/>
    </mc:Choice>
  </mc:AlternateContent>
  <xr:revisionPtr revIDLastSave="148" documentId="14_{CE760792-1150-477F-AAA3-8B9C1E6855E4}" xr6:coauthVersionLast="46" xr6:coauthVersionMax="46" xr10:uidLastSave="{B45C1CBC-437B-4CC8-810A-675CA8D8EED7}"/>
  <bookViews>
    <workbookView xWindow="-120" yWindow="-120" windowWidth="29040" windowHeight="1599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Schedule!$D$1:$BR$40</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BH5" i="2"/>
  <c r="AF6" i="2"/>
  <c r="BH6" i="2"/>
  <c r="AF7" i="2"/>
  <c r="AJ7" i="2"/>
  <c r="AJ8" i="2"/>
  <c r="AL9" i="2"/>
  <c r="AU9" i="2"/>
  <c r="AL10" i="2"/>
  <c r="AS10" i="2"/>
  <c r="AS11" i="2"/>
  <c r="AU12" i="2"/>
  <c r="BA12" i="2"/>
  <c r="AU13" i="2"/>
  <c r="AY13" i="2"/>
  <c r="AY14" i="2"/>
  <c r="BA15" i="2"/>
  <c r="BE15" i="2"/>
  <c r="BA16" i="2"/>
  <c r="BC17" i="2"/>
  <c r="BE18" i="2"/>
  <c r="BH18" i="2"/>
  <c r="BE19" i="2"/>
  <c r="BG20" i="2"/>
  <c r="AF21" i="2"/>
  <c r="BF21" i="2"/>
  <c r="AF22" i="2"/>
  <c r="AK22" i="2"/>
  <c r="AF23" i="2"/>
  <c r="AH24" i="2"/>
  <c r="AJ25" i="2"/>
  <c r="AK26" i="2"/>
  <c r="AR26" i="2"/>
  <c r="AK27" i="2"/>
  <c r="AM28" i="2"/>
  <c r="AP29" i="2"/>
  <c r="AR30" i="2"/>
  <c r="AX30" i="2"/>
  <c r="AR31" i="2"/>
  <c r="AT32" i="2"/>
  <c r="AW32" i="2"/>
  <c r="AW33" i="2"/>
  <c r="AX34" i="2"/>
  <c r="BC34" i="2"/>
  <c r="AX35" i="2"/>
  <c r="AY36" i="2"/>
  <c r="BB37" i="2"/>
  <c r="BC38" i="2"/>
  <c r="BC39" i="2"/>
  <c r="BF40"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AE2" i="2" a="1"/>
  <c r="D1" i="2" a="1"/>
  <c r="AE1" i="2" a="1"/>
  <c r="D1" i="2" l="1"/>
  <c r="AE2" i="2"/>
  <c r="AE1" i="2"/>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<sst xmlns="http://schemas.openxmlformats.org/spreadsheetml/2006/main" count="3153" uniqueCount="1633">
  <si>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</si>
  <si>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</si>
  <si>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</si>
  <si>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</si>
  <si>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</si>
  <si>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</si>
  <si>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</si>
  <si>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</si>
  <si>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</si>
  <si>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</si>
  <si>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</si>
  <si>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</si>
  <si>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</si>
  <si>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</si>
  <si>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</si>
  <si>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</si>
  <si>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</si>
  <si>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</si>
  <si>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</si>
  <si>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</si>
  <si>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</si>
  <si>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</si>
  <si>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</si>
  <si>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</si>
  <si>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</si>
  <si>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</si>
  <si>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</si>
  <si>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</si>
  <si>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</si>
  <si>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</si>
  <si>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</si>
  <si>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</si>
  <si>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</si>
  <si>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</si>
  <si>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</si>
  <si>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</si>
  <si>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</si>
  <si>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</si>
  <si>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</si>
  <si>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</si>
  <si>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</si>
  <si>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</si>
  <si>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</si>
  <si>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</si>
  <si>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</si>
  <si>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</si>
  <si>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</si>
  <si>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</si>
  <si>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</si>
  <si>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</si>
  <si>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</si>
  <si>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</si>
  <si>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</si>
  <si>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</si>
  <si>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</si>
  <si>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</si>
  <si>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</si>
  <si>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</si>
  <si>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</si>
  <si>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</si>
  <si>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</si>
  <si>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</si>
  <si>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</si>
  <si>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</si>
  <si>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</si>
  <si>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</si>
  <si>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</si>
  <si>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</si>
  <si>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</si>
  <si>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</si>
  <si>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</si>
  <si>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</si>
  <si>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</si>
  <si>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</si>
  <si>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</si>
  <si>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</si>
  <si>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</si>
  <si>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</si>
  <si>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</si>
  <si>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</si>
  <si>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</si>
  <si>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</si>
  <si>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</si>
  <si>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</si>
  <si>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</si>
  <si>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</si>
  <si>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</si>
  <si>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</si>
  <si>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</si>
  <si>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</si>
  <si>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</si>
  <si>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</si>
  <si>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</si>
  <si>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</si>
  <si>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</si>
  <si>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</si>
  <si>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</si>
  <si>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</si>
  <si>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</si>
  <si>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</si>
  <si>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</si>
  <si>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</si>
  <si>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</si>
  <si>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</si>
  <si>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</si>
  <si>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</si>
  <si>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</si>
  <si>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</si>
  <si>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</si>
  <si>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</si>
  <si>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</si>
  <si>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</si>
  <si>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</si>
  <si>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</si>
  <si>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</si>
  <si>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</si>
  <si>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</si>
  <si>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</si>
  <si>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</si>
  <si>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</si>
  <si>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</si>
  <si>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</si>
  <si>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</si>
  <si>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</si>
  <si>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</si>
  <si>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</si>
  <si>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</si>
  <si>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</si>
  <si>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</si>
  <si>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</si>
  <si>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</si>
  <si>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</si>
  <si>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</si>
  <si>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</si>
  <si>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</si>
  <si>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</si>
  <si>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</si>
  <si>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</si>
  <si>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</si>
  <si>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</si>
  <si>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</si>
  <si>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</si>
  <si>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</si>
  <si>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</si>
  <si>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</si>
  <si>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</si>
  <si>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</si>
  <si>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</si>
  <si>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</si>
  <si>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</si>
  <si>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</si>
  <si>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</si>
  <si>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</si>
  <si>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</si>
  <si>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</si>
  <si>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</si>
  <si>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</si>
  <si>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</si>
  <si>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</si>
  <si>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</si>
  <si>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</si>
  <si>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</si>
  <si>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</si>
  <si>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</si>
  <si>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</si>
  <si>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</si>
  <si>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</si>
  <si>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</si>
  <si>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</si>
  <si>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</si>
  <si>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</si>
  <si>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</si>
  <si>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</si>
  <si>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</si>
  <si>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</si>
  <si>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</si>
  <si>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</si>
  <si>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</si>
  <si>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</si>
  <si>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</si>
  <si>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</si>
  <si>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</si>
  <si>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</si>
  <si>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</si>
  <si>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</si>
  <si>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</si>
  <si>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</si>
  <si>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</si>
  <si>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</si>
  <si>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</si>
  <si>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</si>
  <si>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</si>
  <si>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</si>
  <si>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</si>
  <si>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</si>
  <si>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</si>
  <si>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</si>
  <si>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</si>
  <si>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</si>
  <si>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</si>
  <si>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</si>
  <si>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</si>
  <si>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</si>
  <si>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</si>
  <si>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</si>
  <si>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</si>
  <si>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</si>
  <si>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</si>
  <si>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</si>
  <si>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</si>
  <si>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</si>
  <si>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</si>
  <si>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</si>
  <si>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</si>
  <si>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</si>
  <si>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</si>
  <si>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</si>
  <si>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</si>
  <si>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</si>
  <si>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</si>
  <si>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</si>
  <si>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</si>
  <si>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</si>
  <si>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</si>
  <si>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</si>
  <si>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</si>
  <si>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</si>
  <si>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</si>
  <si>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</si>
  <si>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</si>
  <si>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</si>
  <si>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</si>
  <si>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</si>
  <si>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</si>
  <si>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</si>
  <si>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</si>
  <si>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</si>
  <si>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</si>
  <si>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</si>
  <si>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</si>
  <si>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</si>
  <si>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</si>
  <si>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</si>
  <si>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</si>
  <si>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</si>
  <si>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</si>
  <si>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</si>
  <si>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</si>
  <si>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</si>
  <si>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</si>
  <si>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</si>
  <si>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</si>
  <si>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</si>
  <si>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</si>
  <si>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</si>
  <si>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</si>
  <si>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</si>
  <si>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</si>
  <si>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</si>
  <si>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</si>
  <si>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</si>
  <si>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</si>
  <si>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</si>
  <si>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</si>
  <si>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</si>
  <si>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</si>
  <si>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</si>
  <si>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</si>
  <si>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</si>
  <si>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</si>
  <si>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</si>
  <si>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</si>
  <si>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</si>
  <si>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</si>
  <si>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</si>
  <si>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</si>
  <si>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</si>
  <si>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</si>
  <si>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</si>
  <si>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</si>
  <si>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</si>
  <si>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</si>
  <si>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</si>
  <si>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</si>
  <si>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</si>
  <si>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</si>
  <si>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</si>
  <si>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</si>
  <si>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</si>
  <si>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</si>
  <si>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</si>
  <si>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</si>
  <si>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</si>
  <si>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</si>
  <si>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</si>
  <si>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</si>
  <si>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</si>
  <si>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</si>
  <si>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</si>
  <si>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</si>
  <si>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</si>
  <si>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</si>
  <si>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</si>
  <si>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</si>
  <si>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</si>
  <si>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</si>
  <si>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</si>
  <si>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</si>
  <si>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</si>
  <si>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</si>
  <si>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</si>
  <si>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</si>
  <si>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</si>
  <si>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</si>
  <si>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</si>
  <si>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</si>
  <si>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</si>
  <si>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</si>
  <si>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</si>
  <si>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</si>
  <si>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</si>
  <si>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</si>
  <si>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</si>
  <si>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</si>
  <si>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</si>
  <si>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</si>
  <si>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</si>
  <si>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</si>
  <si>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</si>
  <si>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</si>
  <si>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</si>
  <si>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</si>
  <si>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</si>
  <si>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</si>
  <si>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</si>
  <si>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</si>
  <si>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</si>
  <si>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</si>
  <si>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</si>
  <si>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</si>
  <si>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</si>
  <si>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</si>
  <si>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</si>
  <si>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</si>
  <si>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</si>
  <si>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</si>
  <si>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</si>
  <si>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</si>
  <si>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</si>
  <si>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</si>
  <si>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</si>
  <si>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</si>
  <si>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</si>
  <si>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</si>
  <si>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</si>
  <si>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</si>
  <si>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</si>
  <si>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</si>
  <si>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</si>
  <si>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</si>
  <si>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</si>
  <si>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</si>
  <si>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</si>
  <si>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</si>
  <si>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</si>
  <si>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</si>
  <si>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</si>
  <si>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</si>
  <si>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</si>
  <si>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</si>
  <si>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</si>
  <si>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</si>
  <si>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</si>
  <si>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</si>
  <si>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</si>
  <si>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</si>
  <si>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</si>
  <si>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</si>
  <si>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</si>
  <si>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</si>
  <si>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</si>
  <si>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</si>
  <si>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</si>
  <si>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</si>
  <si>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</si>
  <si>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</si>
  <si>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</si>
  <si>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</si>
  <si>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</si>
  <si>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</si>
  <si>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</si>
  <si>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</si>
  <si>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</si>
  <si>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</si>
  <si>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</si>
  <si>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</si>
  <si>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</si>
  <si>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</si>
  <si>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</si>
  <si>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</si>
  <si>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</si>
  <si>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</si>
  <si>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</si>
  <si>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</si>
  <si>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</si>
  <si>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</si>
  <si>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</si>
  <si>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</si>
  <si>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</si>
  <si>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</si>
  <si>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</si>
  <si>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</si>
  <si>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</si>
  <si>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</si>
  <si>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</si>
  <si>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</si>
  <si>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</si>
  <si>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</si>
  <si>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</si>
  <si>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</si>
  <si>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</si>
  <si>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</si>
  <si>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</si>
  <si>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</si>
  <si>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</si>
  <si>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</si>
  <si>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</si>
  <si>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</si>
  <si>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</si>
  <si>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</si>
  <si>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</si>
  <si>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</si>
  <si>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</si>
  <si>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</si>
  <si>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</si>
  <si>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</si>
  <si>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</si>
  <si>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</si>
  <si>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</si>
  <si>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</si>
  <si>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</si>
  <si>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</si>
  <si>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</si>
  <si>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</si>
  <si>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</si>
  <si>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</si>
  <si>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</si>
  <si>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</si>
  <si>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</si>
  <si>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</si>
  <si>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</si>
  <si>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</si>
  <si>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</si>
  <si>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</si>
  <si>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</si>
  <si>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</si>
  <si>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</si>
  <si>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</si>
  <si>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</si>
  <si>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</si>
  <si>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</si>
  <si>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</si>
  <si>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</si>
  <si>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</si>
  <si>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</si>
  <si>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</si>
  <si>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</si>
  <si>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</si>
  <si>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</si>
  <si>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</si>
  <si>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</si>
  <si>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</si>
  <si>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</si>
  <si>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</si>
  <si>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</si>
  <si>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</si>
  <si>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</si>
  <si>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</si>
  <si>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</si>
  <si>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</si>
  <si>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</si>
  <si>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</si>
  <si>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</si>
  <si>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</si>
  <si>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</si>
  <si>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</si>
  <si>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</si>
  <si>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</si>
  <si>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</si>
  <si>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</si>
  <si>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</si>
  <si>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</si>
  <si>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</si>
  <si>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</si>
  <si>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</si>
  <si>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</si>
  <si>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</si>
  <si>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</si>
  <si>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</si>
  <si>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</si>
  <si>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</si>
  <si>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</si>
  <si>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</si>
  <si>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</si>
  <si>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</si>
  <si>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</si>
  <si>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</si>
  <si>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</si>
  <si>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</si>
  <si>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</si>
  <si>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</si>
  <si>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</si>
  <si>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</si>
  <si>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</si>
  <si>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</si>
  <si>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</si>
  <si>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</si>
  <si>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</si>
  <si>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</si>
  <si>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</si>
  <si>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</si>
  <si>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</si>
  <si>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</si>
  <si>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</si>
  <si>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</si>
  <si>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</si>
  <si>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</si>
  <si>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</si>
  <si>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</si>
  <si>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</si>
  <si>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</si>
  <si>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</si>
  <si>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</si>
  <si>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</si>
  <si>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</si>
  <si>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</si>
  <si>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</si>
  <si>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</si>
  <si>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</si>
  <si>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</si>
  <si>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</si>
  <si>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</si>
  <si>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</si>
  <si>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</si>
  <si>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</si>
  <si>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</si>
  <si>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</si>
  <si>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</si>
  <si>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</si>
  <si>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</si>
  <si>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</si>
  <si>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</si>
  <si>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</si>
  <si>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</si>
  <si>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</si>
  <si>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</si>
  <si>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</si>
  <si>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</si>
  <si>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</si>
  <si>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</si>
  <si>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</si>
  <si>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</si>
  <si>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</si>
  <si>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</si>
  <si>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</si>
  <si>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</si>
  <si>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</si>
  <si>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</si>
  <si>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</si>
  <si>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</si>
  <si>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</si>
  <si>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</si>
  <si>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</si>
  <si>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</si>
  <si>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</si>
  <si>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</si>
  <si>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</si>
  <si>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</si>
  <si>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</si>
  <si>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</si>
  <si>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</si>
  <si>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</si>
  <si>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</si>
  <si>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</si>
  <si>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</si>
  <si>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</si>
  <si>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</si>
  <si>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</si>
  <si>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</si>
  <si>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</si>
  <si>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</si>
  <si>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</si>
  <si>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</si>
  <si>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</si>
  <si>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</si>
  <si>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</si>
  <si>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</si>
  <si>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</si>
  <si>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</si>
  <si>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</si>
  <si>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</si>
  <si>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</si>
  <si>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</si>
  <si>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</si>
  <si>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</si>
  <si>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</si>
  <si>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</si>
  <si>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</si>
  <si>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</si>
  <si>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</si>
  <si>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</si>
  <si>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</si>
  <si>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</si>
  <si>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</si>
  <si>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</si>
  <si>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</si>
  <si>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</si>
  <si>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</si>
  <si>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</si>
  <si>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</si>
  <si>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</si>
  <si>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</si>
  <si>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</si>
  <si>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</si>
  <si>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</si>
  <si>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</si>
  <si>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</si>
  <si>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</si>
  <si>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</si>
  <si>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</si>
  <si>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</si>
  <si>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</si>
  <si>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</si>
  <si>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</si>
  <si>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</si>
  <si>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</si>
  <si>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</si>
  <si>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</si>
  <si>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</si>
  <si>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</si>
  <si>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</si>
  <si>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</si>
  <si>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</si>
  <si>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</si>
  <si>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</si>
  <si>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</si>
  <si>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</si>
  <si>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</si>
  <si>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</si>
  <si>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</si>
  <si>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</si>
  <si>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</si>
  <si>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</si>
  <si>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</si>
  <si>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</si>
  <si>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</si>
  <si>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</si>
  <si>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</si>
  <si>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</si>
  <si>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</si>
  <si>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</si>
  <si>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</si>
  <si>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</si>
  <si>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</si>
  <si>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</si>
  <si>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</si>
  <si>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</si>
  <si>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</si>
  <si>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</si>
  <si>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</si>
  <si>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</si>
  <si>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</si>
  <si>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</si>
  <si>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</si>
  <si>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</si>
  <si>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</si>
  <si>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</si>
  <si>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</si>
  <si>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</si>
  <si>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</si>
  <si>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</si>
  <si>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</si>
  <si>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</si>
  <si>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</si>
  <si>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</si>
  <si>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</si>
  <si>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</si>
  <si>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</si>
  <si>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</si>
  <si>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</si>
  <si>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</si>
  <si>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</si>
  <si>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</si>
  <si>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</si>
  <si>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</si>
  <si>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</si>
  <si>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</si>
  <si>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</si>
  <si>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</si>
  <si>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</si>
  <si>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</si>
  <si>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</si>
  <si>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</si>
  <si>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</si>
  <si>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</si>
  <si>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</si>
  <si>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</si>
  <si>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</si>
  <si>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</si>
  <si>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</si>
  <si>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</si>
  <si>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</si>
  <si>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</si>
  <si>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</si>
  <si>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</si>
  <si>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</si>
  <si>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</si>
  <si>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</si>
  <si>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</si>
  <si>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</si>
  <si>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</si>
  <si>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</si>
  <si>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</si>
  <si>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</si>
  <si>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</si>
  <si>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</si>
  <si>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</si>
  <si>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</si>
  <si>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</si>
  <si>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</si>
  <si>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</si>
  <si>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</si>
  <si>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</si>
  <si>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</si>
  <si>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</si>
  <si>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</si>
  <si>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</si>
  <si>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</si>
  <si>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</si>
  <si>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</si>
  <si>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</si>
  <si>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</si>
  <si>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</si>
  <si>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</si>
  <si>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</si>
  <si>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</si>
  <si>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</si>
  <si>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</si>
  <si>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</si>
  <si>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</si>
  <si>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</si>
  <si>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</si>
  <si>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</si>
  <si>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</si>
  <si>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</si>
  <si>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</si>
  <si>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</si>
  <si>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</si>
  <si>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</si>
  <si>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</si>
  <si>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</si>
  <si>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</si>
  <si>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</si>
  <si>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</si>
  <si>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</si>
  <si>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</si>
  <si>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</si>
  <si>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</si>
  <si>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</si>
  <si>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</si>
  <si>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</si>
  <si>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</si>
  <si>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</si>
  <si>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</si>
  <si>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</si>
  <si>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</si>
  <si>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</si>
  <si>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</si>
  <si>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</si>
  <si>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</si>
  <si>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</si>
  <si>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</si>
  <si>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</si>
  <si>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</si>
  <si>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</si>
  <si>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</si>
  <si>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</si>
  <si>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</si>
  <si>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</si>
  <si>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</si>
  <si>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</si>
  <si>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</si>
  <si>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</si>
  <si>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</si>
  <si>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</si>
  <si>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</si>
  <si>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</si>
  <si>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</si>
  <si>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</si>
  <si>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</si>
  <si>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</si>
  <si>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</si>
  <si>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</si>
  <si>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</si>
  <si>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</si>
  <si>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</si>
  <si>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</si>
  <si>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</si>
  <si>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</si>
  <si>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</si>
  <si>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</si>
  <si>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</si>
  <si>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</si>
  <si>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</si>
  <si>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</si>
  <si>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</si>
  <si>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</si>
  <si>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</si>
  <si>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</si>
  <si>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</si>
  <si>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</si>
  <si>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</si>
  <si>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</si>
  <si>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</si>
  <si>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</si>
  <si>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</si>
  <si>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</si>
  <si>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</si>
  <si>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</si>
  <si>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</si>
  <si>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</si>
  <si>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</si>
  <si>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</si>
  <si>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</si>
  <si>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</si>
  <si>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</si>
  <si>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</si>
  <si>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</si>
  <si>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</si>
  <si>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</si>
  <si>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</si>
  <si>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</si>
  <si>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</si>
  <si>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</si>
  <si>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</si>
  <si>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</si>
  <si>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</si>
  <si>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</si>
  <si>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</si>
  <si>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</si>
  <si>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</si>
  <si>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</si>
  <si>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</si>
  <si>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</si>
  <si>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</si>
  <si>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</si>
  <si>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</si>
  <si>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</si>
  <si>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</si>
  <si>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</si>
  <si>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</si>
  <si>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</si>
  <si>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</si>
  <si>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</si>
  <si>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</si>
  <si>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</si>
  <si>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</si>
  <si>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</si>
  <si>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</si>
  <si>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</si>
  <si>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</si>
  <si>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</si>
  <si>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</si>
  <si>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</si>
  <si>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</si>
  <si>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</si>
  <si>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</si>
  <si>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</si>
  <si>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</si>
  <si>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</si>
  <si>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</si>
  <si>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</si>
  <si>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</si>
  <si>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</si>
  <si>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</si>
  <si>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</si>
  <si>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</si>
  <si>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</si>
  <si>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</si>
  <si>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</si>
  <si>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</si>
  <si>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</si>
  <si>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</si>
  <si>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</si>
  <si>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</si>
  <si>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</si>
  <si>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</si>
  <si>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</si>
  <si>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</si>
  <si>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</si>
  <si>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</si>
  <si>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</si>
  <si>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</si>
  <si>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</si>
  <si>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</si>
  <si>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</si>
  <si>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</si>
  <si>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</si>
  <si>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</si>
  <si>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</si>
  <si>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</si>
  <si>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</si>
  <si>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</si>
  <si>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</si>
  <si>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</si>
  <si>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</si>
  <si>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</si>
  <si>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</si>
  <si>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</si>
  <si>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</si>
  <si>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</si>
  <si>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</si>
  <si>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</si>
  <si>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</si>
  <si>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</si>
  <si>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</si>
  <si>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</si>
  <si>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</si>
  <si>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</si>
  <si>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</si>
  <si>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</si>
  <si>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</si>
  <si>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</si>
  <si>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</si>
  <si>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</si>
  <si>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</si>
  <si>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</si>
  <si>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</si>
  <si>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</si>
  <si>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</si>
  <si>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</si>
  <si>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</si>
  <si>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</si>
  <si>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</si>
  <si>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</si>
  <si>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</si>
  <si>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</si>
  <si>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</si>
  <si>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</si>
  <si>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</si>
  <si>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</si>
  <si>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</si>
  <si>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</si>
  <si>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</si>
  <si>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</si>
  <si>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</si>
  <si>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</si>
  <si>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</si>
  <si>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</si>
  <si>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</si>
  <si>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</si>
  <si>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</si>
  <si>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</si>
  <si>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</si>
  <si>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</si>
  <si>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</si>
  <si>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</si>
  <si>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</si>
  <si>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</si>
  <si>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</si>
  <si>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</si>
  <si>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</si>
  <si>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</si>
  <si>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</si>
  <si>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</si>
  <si>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</si>
  <si>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</si>
  <si>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</si>
  <si>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</si>
  <si>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</si>
  <si>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</si>
  <si>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</si>
  <si>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</si>
  <si>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</si>
  <si>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</si>
  <si>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</si>
  <si>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</si>
  <si>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</si>
  <si>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</si>
  <si>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</si>
  <si>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</si>
  <si>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</si>
  <si>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</si>
  <si>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</si>
  <si>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</si>
  <si>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</si>
  <si>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</si>
  <si>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</si>
  <si>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</si>
  <si>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</si>
  <si>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</si>
  <si>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</si>
  <si>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</si>
  <si>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</si>
  <si>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</si>
  <si>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</si>
  <si>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</si>
  <si>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</si>
  <si>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</si>
  <si>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</si>
  <si>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</si>
  <si>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</si>
  <si>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</si>
  <si>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</si>
  <si>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</si>
  <si>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</si>
  <si>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</si>
  <si>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</si>
  <si>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</si>
  <si>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</si>
  <si>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</si>
  <si>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</si>
  <si>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</si>
  <si>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</si>
  <si>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</si>
  <si>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</si>
  <si>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</si>
  <si>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</si>
  <si>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</si>
  <si>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</si>
  <si>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</si>
  <si>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</si>
  <si>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</si>
  <si>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</si>
  <si>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</si>
  <si>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</si>
  <si>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</si>
  <si>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</si>
  <si>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</si>
  <si>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</si>
  <si>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</si>
  <si>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</si>
  <si>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</si>
  <si>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</si>
  <si>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</si>
  <si>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</si>
  <si>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</si>
  <si>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</si>
  <si>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</si>
  <si>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</si>
  <si>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</si>
  <si>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</si>
  <si>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</si>
  <si>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</si>
  <si>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</si>
  <si>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</si>
  <si>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</si>
  <si>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</si>
  <si>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</si>
  <si>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</si>
  <si>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</si>
  <si>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</si>
  <si>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</si>
  <si>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</si>
  <si>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</si>
  <si>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</si>
  <si>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</si>
  <si>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</si>
  <si>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</si>
  <si>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</si>
  <si>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</si>
  <si>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</si>
  <si>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</si>
  <si>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</si>
  <si>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</si>
  <si>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</si>
  <si>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</si>
  <si>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</si>
  <si>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</si>
  <si>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</si>
  <si>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</si>
  <si>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</si>
  <si>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</si>
  <si>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</si>
  <si>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</si>
  <si>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</si>
  <si>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</si>
  <si>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</si>
  <si>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</si>
  <si>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</si>
  <si>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</si>
  <si>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</si>
  <si>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</si>
  <si>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</si>
  <si>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</si>
  <si>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</si>
  <si>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</si>
  <si>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</si>
  <si>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</si>
  <si>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</si>
  <si>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</si>
  <si>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</si>
  <si>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</si>
  <si>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</si>
  <si>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</si>
  <si>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</si>
  <si>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</si>
  <si>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</si>
  <si>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</si>
  <si>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</si>
  <si>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</si>
  <si>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</si>
  <si>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</si>
  <si>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</si>
  <si>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</si>
  <si>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</si>
  <si>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</si>
  <si>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</si>
  <si>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</si>
  <si>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</si>
  <si>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</si>
  <si>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</si>
  <si>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</si>
  <si>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</si>
  <si>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</si>
  <si>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</si>
  <si>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</si>
  <si>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</si>
  <si>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</si>
  <si>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</si>
  <si>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</si>
  <si>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</si>
  <si>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</si>
  <si>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</si>
  <si>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</si>
  <si>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</si>
  <si>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</si>
  <si>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</si>
  <si>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</si>
  <si>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</si>
  <si>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</si>
  <si>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</si>
  <si>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</si>
  <si>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</si>
  <si>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</si>
  <si>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</si>
  <si>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</si>
  <si>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</si>
  <si>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</si>
  <si>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</si>
  <si>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</si>
  <si>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</si>
  <si>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</si>
  <si>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</si>
  <si>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</si>
  <si>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</si>
  <si>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</si>
  <si>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</si>
  <si>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</si>
  <si>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</si>
  <si>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</si>
  <si>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</si>
  <si>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</si>
  <si>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</si>
  <si>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</si>
  <si>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</si>
  <si>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</si>
  <si>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</si>
  <si>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</si>
  <si>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</si>
  <si>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</si>
  <si>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</si>
  <si>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</si>
  <si>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</si>
  <si>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</si>
  <si>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</si>
  <si>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</si>
  <si>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</si>
  <si>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</si>
  <si>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</si>
  <si>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</si>
  <si>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</si>
  <si>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</si>
  <si>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</si>
  <si>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</si>
  <si>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</si>
  <si>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</si>
  <si>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</si>
  <si>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</si>
  <si>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</si>
  <si>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</si>
  <si>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</si>
  <si>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</si>
  <si>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</si>
  <si>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</si>
  <si>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</si>
  <si>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</si>
  <si>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</si>
  <si>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</si>
  <si>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</si>
  <si>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</si>
  <si>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</si>
  <si>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</si>
  <si>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</si>
  <si>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</si>
  <si>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</si>
  <si>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</si>
  <si>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</si>
  <si>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</si>
  <si>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</si>
  <si>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</si>
  <si>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</si>
  <si>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</si>
  <si>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</si>
  <si>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</si>
  <si>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</si>
  <si>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</si>
  <si>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</si>
  <si>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</si>
  <si>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</si>
  <si>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</si>
  <si>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</si>
  <si>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</si>
  <si>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</si>
  <si>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</si>
  <si>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</si>
  <si>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</si>
  <si>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</si>
  <si>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</si>
  <si>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</si>
  <si>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</si>
  <si>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</si>
  <si>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</si>
  <si>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</si>
  <si>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</si>
  <si>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</si>
  <si>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</si>
  <si>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</si>
  <si>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</si>
  <si>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</si>
  <si>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</si>
  <si>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</si>
  <si>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</si>
  <si>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</si>
  <si>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</si>
  <si>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</si>
  <si>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</si>
  <si>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</si>
  <si>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</si>
  <si>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</si>
  <si>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</si>
  <si>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</si>
  <si>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</si>
  <si>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</si>
  <si>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</si>
  <si>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</si>
  <si>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</si>
  <si>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</si>
  <si>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</si>
  <si>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</si>
  <si>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</si>
  <si>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</si>
  <si>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</si>
  <si>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</si>
  <si>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</si>
  <si>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</si>
  <si>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</si>
  <si>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</si>
  <si>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</si>
  <si>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</si>
  <si>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</si>
  <si>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</si>
  <si>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</si>
  <si>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</si>
  <si>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</si>
  <si>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</si>
  <si>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</si>
  <si>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</si>
  <si>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</si>
  <si>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</si>
  <si>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</si>
  <si>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</si>
  <si>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</si>
  <si>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</si>
  <si>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</si>
  <si>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</si>
  <si>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</si>
  <si>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</si>
  <si>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</si>
  <si>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</si>
  <si>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</si>
  <si>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</si>
  <si>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</si>
  <si>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</si>
  <si>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</si>
  <si>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</si>
  <si>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</si>
  <si>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</si>
  <si>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</si>
  <si>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</si>
  <si>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</si>
  <si>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</si>
  <si>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</si>
  <si>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</si>
  <si>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</si>
  <si>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</si>
  <si>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</si>
  <si>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</si>
  <si>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</si>
  <si>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</si>
  <si>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</si>
  <si>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</si>
  <si>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</si>
  <si>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</si>
  <si>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</si>
  <si>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</si>
  <si>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</si>
  <si>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</si>
  <si>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</si>
  <si>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</si>
  <si>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</si>
  <si>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</si>
  <si>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</si>
  <si>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</si>
  <si>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</si>
  <si>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</si>
  <si>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</si>
  <si>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</si>
  <si>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</si>
  <si>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</si>
  <si>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</si>
  <si>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</si>
  <si>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</si>
  <si>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</si>
  <si>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</si>
  <si>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</si>
  <si>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</si>
  <si>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</si>
  <si>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</si>
  <si>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</si>
  <si>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착수</t>
  </si>
  <si>
    <t>1.1.2.1</t>
  </si>
  <si>
    <t>프로젝트 계획 수립</t>
  </si>
  <si>
    <t>이지은</t>
  </si>
  <si>
    <t>1.1.2.2</t>
  </si>
  <si>
    <t>착수보고(Kick off)</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</si>
  <si>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</si>
  <si>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</si>
  <si>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</si>
  <si>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</si>
  <si>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</si>
  <si>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</si>
  <si>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</si>
  <si>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</si>
  <si>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</si>
  <si>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</si>
  <si>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</si>
  <si>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</si>
  <si>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</si>
  <si>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</si>
  <si>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</si>
  <si>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</si>
  <si>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</si>
  <si>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</si>
  <si>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</si>
  <si>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</si>
  <si>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</si>
  <si>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</si>
  <si>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</si>
  <si>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</si>
  <si>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</si>
  <si>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</si>
  <si>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</si>
  <si>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</si>
  <si>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</si>
  <si>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</si>
  <si>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</si>
  <si>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</si>
  <si>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</si>
  <si>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</si>
  <si>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</si>
  <si>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</si>
  <si>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</si>
  <si>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</si>
  <si>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</si>
  <si>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</si>
  <si>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</si>
  <si>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</si>
  <si>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</si>
  <si>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</si>
  <si>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</si>
  <si>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</si>
  <si>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</si>
  <si>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</si>
  <si>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</si>
  <si>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</si>
  <si>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</si>
  <si>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</si>
  <si>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</si>
  <si>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</si>
  <si>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W13</t>
  </si>
  <si>
    <t>W17</t>
  </si>
  <si>
    <t>W21</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</si>
  <si>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</si>
  <si>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</si>
  <si>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</si>
  <si>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</si>
  <si>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</si>
  <si>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</si>
  <si>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</si>
  <si>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</si>
  <si>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</si>
  <si>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</si>
  <si>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</si>
  <si>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</si>
  <si>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</si>
  <si>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</si>
  <si>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</si>
  <si>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</si>
  <si>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</si>
  <si>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</si>
  <si>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</si>
  <si>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</si>
  <si>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</si>
  <si>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</si>
  <si>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</si>
  <si>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</si>
  <si>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</si>
  <si>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</si>
  <si>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</si>
  <si>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</si>
  <si>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</si>
  <si>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</si>
  <si>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</si>
  <si>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</si>
  <si>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</si>
  <si>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</si>
  <si>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</si>
  <si>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</si>
  <si>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</si>
  <si>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</si>
  <si>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</si>
  <si>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</si>
  <si>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</si>
  <si>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</si>
  <si>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</si>
  <si>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</si>
  <si>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</si>
  <si>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</si>
  <si>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</si>
  <si>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</si>
  <si>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</si>
  <si>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</si>
  <si>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</si>
  <si>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</si>
  <si>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</si>
  <si>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</si>
  <si>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</si>
  <si>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</si>
  <si>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</si>
  <si>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</si>
  <si>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</si>
  <si>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</si>
  <si>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</si>
  <si>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</si>
  <si>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</si>
  <si>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</si>
  <si>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</si>
  <si>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</si>
  <si>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</si>
  <si>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</si>
  <si>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</si>
  <si>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</si>
  <si>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</si>
  <si>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</si>
  <si>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</si>
  <si>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</si>
  <si>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</si>
  <si>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</si>
  <si>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</si>
  <si>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</si>
  <si>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</si>
  <si>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</si>
  <si>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</si>
  <si>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</si>
  <si>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</si>
  <si>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</si>
  <si>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</si>
  <si>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</si>
  <si>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</si>
  <si>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</si>
  <si>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</si>
  <si>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</si>
  <si>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</si>
  <si>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</si>
  <si>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</si>
  <si>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</si>
  <si>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</si>
  <si>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</si>
  <si>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</si>
  <si>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</si>
  <si>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</si>
  <si>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</si>
  <si>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</si>
  <si>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</si>
  <si>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</si>
  <si>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</si>
  <si>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</si>
  <si>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</si>
  <si>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</si>
  <si>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</si>
  <si>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</si>
  <si>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</si>
  <si>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</si>
  <si>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</si>
  <si>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</si>
  <si>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</si>
  <si>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</si>
  <si>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</si>
  <si>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</si>
  <si>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</si>
  <si>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</si>
  <si>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</si>
  <si>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</si>
  <si>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</si>
  <si>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</si>
  <si>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</si>
  <si>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</si>
  <si>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</si>
  <si>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</si>
  <si>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</si>
  <si>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</si>
  <si>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</si>
  <si>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</si>
  <si>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</si>
  <si>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</si>
  <si>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</si>
  <si>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</si>
  <si>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</si>
  <si>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</si>
  <si>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</si>
  <si>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</si>
  <si>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</si>
  <si>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</si>
  <si>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</si>
  <si>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</si>
  <si>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</si>
  <si>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</si>
  <si>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</si>
  <si>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</si>
  <si>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</si>
  <si>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</si>
  <si>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</si>
  <si>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</si>
  <si>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Workload현황(주별)</t>
  </si>
  <si>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</si>
  <si>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</si>
  <si>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</si>
  <si>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</si>
  <si>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</si>
  <si>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</si>
  <si>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</si>
  <si>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</si>
  <si>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</si>
  <si>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현행 시스템 분석 및 정리</t>
  </si>
  <si>
    <t>CIL</t>
  </si>
  <si>
    <t>AMAM</t>
  </si>
  <si>
    <t>INDUSTRY INSIGHT</t>
  </si>
  <si>
    <t>사용자 설문조사</t>
  </si>
  <si>
    <t>1.2.1.1</t>
  </si>
  <si>
    <t>1.2.1.2</t>
  </si>
  <si>
    <t>1.2.1.3</t>
  </si>
  <si>
    <t>W25</t>
  </si>
  <si>
    <t>PHP2SPRING</t>
  </si>
  <si>
    <t>02/14
W8</t>
  </si>
  <si>
    <t>03/14
W12</t>
  </si>
  <si>
    <t>개발 환경 구축 및 SPRING STUDY</t>
  </si>
  <si>
    <t>CIL 구현</t>
  </si>
  <si>
    <t>CIL TEST &amp;MODIFY</t>
  </si>
  <si>
    <t>04/11
W16</t>
  </si>
  <si>
    <t>05/09
W20</t>
  </si>
  <si>
    <t>INDUSTRY INSIGHT 구현</t>
  </si>
  <si>
    <t>INDUSTRY INSIGHT TEST&amp;MODIFY</t>
  </si>
  <si>
    <t>AMAM 구현</t>
  </si>
  <si>
    <t>AMAM TEST&amp;MODIFY</t>
  </si>
  <si>
    <t>SURVEY 구현</t>
  </si>
  <si>
    <t>SURVEY TEST&amp;MODIFY</t>
  </si>
  <si>
    <t>06/06
W24</t>
  </si>
  <si>
    <t>07/04
W28</t>
  </si>
  <si>
    <t>08/01
W32</t>
  </si>
  <si>
    <t>08/29
W36</t>
  </si>
  <si>
    <t>W29</t>
  </si>
  <si>
    <t>MIL3.0</t>
  </si>
  <si>
    <t>1.1.5</t>
  </si>
  <si>
    <t>1.1.6</t>
  </si>
  <si>
    <t>ADD INTELLIGENT FUNCTION</t>
  </si>
  <si>
    <t>CHATBOT SYSTEM STUDY</t>
  </si>
  <si>
    <t>CHATBOT 구현</t>
  </si>
  <si>
    <t>CHATBOT TEST&amp;MODIFY</t>
  </si>
  <si>
    <t>1.1.3.1</t>
  </si>
  <si>
    <t>1.1.3.2</t>
  </si>
  <si>
    <t>1.1.4.1</t>
  </si>
  <si>
    <t>1.1.4.2</t>
  </si>
  <si>
    <t>SURVEY</t>
  </si>
  <si>
    <t>CHATBOT</t>
  </si>
  <si>
    <t>개인 맞춤형 시간표 서비스</t>
  </si>
  <si>
    <t>기획 검토 및 스토리보드,화면설계서 작성</t>
  </si>
  <si>
    <t>개인 맞춤형 시간표 서비스 구현</t>
  </si>
  <si>
    <t>개인 맞춤형 시간표 서비스 TEST&amp;MODIFY</t>
  </si>
  <si>
    <t>멘토-멘티 매칭 서비스</t>
  </si>
  <si>
    <t>멘토-멘티 매칭 서비스 구현</t>
  </si>
  <si>
    <t>멘토-멘티 애칭 서비스 TEST&amp;MODIFY</t>
  </si>
  <si>
    <t>소학회 페이지</t>
  </si>
  <si>
    <t>소학회 페이지 구현</t>
  </si>
  <si>
    <t>소학회 페이지 TEST&amp;MODIFY</t>
  </si>
  <si>
    <t>설문조사 배포</t>
  </si>
  <si>
    <t>설문조사 분석</t>
  </si>
  <si>
    <t>1.1.5.1</t>
  </si>
  <si>
    <t>1.1.5.2</t>
  </si>
  <si>
    <t>1.1.6.1</t>
  </si>
  <si>
    <t>1.1.6.2</t>
  </si>
  <si>
    <t>1.2.2.1</t>
  </si>
  <si>
    <t>1.2.2.2</t>
  </si>
  <si>
    <t>1.2.2.3</t>
  </si>
  <si>
    <t>1.2.3.1</t>
  </si>
  <si>
    <t>1.2.3.2</t>
  </si>
  <si>
    <t>1.2.3.3</t>
  </si>
  <si>
    <t>1.2.4.1</t>
  </si>
  <si>
    <t>1.2.4.2</t>
  </si>
  <si>
    <t>1.2.4.3</t>
  </si>
  <si>
    <t>1.2.5</t>
  </si>
  <si>
    <t>1.2.5.1</t>
  </si>
  <si>
    <t>1.2.5.2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</si>
</sst>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11"/>
      <name val="Arial Narrow"/>
      <family val="2"/>
    </font>
    <font>
      <b/>
      <sz val="10"/>
      <color theme="10"/>
      <name val="Calibri"/>
      <family val="2"/>
    </font>
    <font>
      <b/>
      <sz val="10"/>
      <color theme="10"/>
      <name val="Malgun Gothic"/>
      <family val="3"/>
      <charset val="129"/>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0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10" fontId="23" fillId="0" borderId="26" xfId="6" applyNumberFormat="1" applyFont="1" applyFill="1" applyBorder="1" applyAlignment="1" applyProtection="1">
      <alignment horizontal="right" vertical="top"/>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4" fontId="9" fillId="0" borderId="27" xfId="4" applyNumberFormat="1" applyFont="1" applyBorder="1"/>
    <xf numFmtId="0" fontId="9" fillId="0" borderId="27" xfId="4" applyFont="1" applyBorder="1"/>
    <xf numFmtId="0" fontId="9" fillId="0" borderId="27" xfId="4" applyNumberFormat="1" applyFont="1" applyBorder="1"/>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9" fillId="0" borderId="0" xfId="4" applyNumberFormat="1" applyFont="1" applyBorder="1"/>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9" fillId="0" borderId="7" xfId="4" applyFont="1" applyBorder="1"/>
    <xf numFmtId="2" fontId="9" fillId="0" borderId="0" xfId="4" applyNumberFormat="1" applyFont="1" applyBorder="1"/>
    <xf numFmtId="2" fontId="9" fillId="0" borderId="10" xfId="4" applyNumberFormat="1" applyFont="1" applyBorder="1"/>
    <xf numFmtId="10" fontId="51" fillId="0" borderId="10" xfId="4" applyNumberFormat="1" applyFont="1" applyBorder="1"/>
    <xf numFmtId="2" fontId="9" fillId="0" borderId="27" xfId="4" applyNumberFormat="1" applyFont="1" applyBorder="1"/>
    <xf numFmtId="10" fontId="51" fillId="0" borderId="27" xfId="4" applyNumberFormat="1" applyFont="1" applyBorder="1"/>
    <xf numFmtId="0" fontId="27" fillId="20" borderId="29"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38"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34" fillId="20" borderId="28" xfId="0" applyFont="1" applyFill="1" applyBorder="1" applyAlignment="1">
      <alignment horizontal="center" vertical="center"/>
    </xf>
    <xf numFmtId="0" fontId="34" fillId="20" borderId="29" xfId="0" applyFont="1" applyFill="1" applyBorder="1" applyAlignment="1">
      <alignment horizontal="center" vertical="center"/>
    </xf>
    <xf numFmtId="0" fontId="34" fillId="20" borderId="30" xfId="0" applyFont="1" applyFill="1" applyBorder="1" applyAlignment="1">
      <alignment horizontal="center" vertical="center"/>
    </xf>
    <xf numFmtId="0" fontId="34" fillId="20" borderId="31"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9" xfId="2" applyFont="1" applyFill="1" applyBorder="1" applyAlignment="1">
      <alignment horizontal="right"/>
    </xf>
    <xf numFmtId="0" fontId="0" fillId="20" borderId="29"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52" fillId="20" borderId="31" xfId="2" applyFont="1" applyFill="1" applyBorder="1" applyAlignment="1">
      <alignment vertical="center"/>
    </xf>
    <xf numFmtId="0" fontId="0" fillId="20" borderId="31"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8" fillId="17" borderId="0" xfId="1" applyFont="1" applyFill="1" applyBorder="1" applyAlignment="1">
      <alignment horizontal="left"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46"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23" fillId="0" borderId="32" xfId="4" applyFont="1" applyFill="1" applyBorder="1" applyAlignment="1" applyProtection="1">
      <alignment vertical="top"/>
      <protection locked="0"/>
    </xf>
    <xf numFmtId="0" fontId="23" fillId="0" borderId="32" xfId="4" quotePrefix="1" applyFont="1" applyFill="1" applyBorder="1" applyAlignment="1" applyProtection="1">
      <alignment horizontal="right" vertical="top"/>
      <protection locked="0"/>
    </xf>
    <xf numFmtId="14" fontId="23" fillId="0" borderId="32" xfId="4" applyNumberFormat="1" applyFont="1" applyFill="1" applyBorder="1" applyAlignment="1" applyProtection="1">
      <alignment horizontal="center" vertical="top"/>
      <protection locked="0"/>
    </xf>
    <xf numFmtId="0" fontId="23" fillId="0" borderId="32" xfId="4" applyNumberFormat="1" applyFont="1" applyFill="1" applyBorder="1" applyAlignment="1" applyProtection="1">
      <alignment horizontal="left" vertical="top"/>
      <protection locked="0"/>
    </xf>
    <xf numFmtId="178" fontId="23" fillId="0" borderId="32" xfId="4" applyNumberFormat="1" applyFont="1" applyFill="1" applyBorder="1" applyAlignment="1" applyProtection="1">
      <alignment horizontal="center" vertical="top"/>
      <protection locked="0"/>
    </xf>
    <xf numFmtId="177" fontId="23" fillId="0" borderId="32" xfId="4" applyNumberFormat="1" applyFont="1" applyFill="1" applyBorder="1" applyAlignment="1" applyProtection="1">
      <alignment horizontal="center" vertical="top"/>
      <protection locked="0"/>
    </xf>
    <xf numFmtId="1" fontId="23" fillId="0" borderId="32" xfId="4" applyNumberFormat="1" applyFont="1" applyFill="1" applyBorder="1" applyAlignment="1" applyProtection="1">
      <alignment horizontal="center" vertical="top"/>
      <protection locked="0"/>
    </xf>
    <xf numFmtId="14" fontId="23" fillId="0" borderId="32" xfId="4" applyNumberFormat="1" applyFont="1" applyFill="1" applyBorder="1" applyAlignment="1" applyProtection="1">
      <alignment horizontal="left" vertical="top"/>
      <protection locked="0"/>
    </xf>
    <xf numFmtId="10" fontId="23" fillId="0" borderId="32" xfId="6" applyNumberFormat="1" applyFont="1" applyFill="1" applyBorder="1" applyAlignment="1" applyProtection="1">
      <alignment horizontal="right" vertical="top" wrapText="1"/>
      <protection locked="0"/>
    </xf>
    <xf numFmtId="10" fontId="23" fillId="0" borderId="32" xfId="6" applyNumberFormat="1" applyFont="1" applyFill="1" applyBorder="1" applyAlignment="1" applyProtection="1">
      <alignment horizontal="right" vertical="top"/>
      <protection locked="0"/>
    </xf>
    <xf numFmtId="10" fontId="23" fillId="21" borderId="26" xfId="6" applyNumberFormat="1" applyFont="1" applyFill="1" applyBorder="1" applyAlignment="1" applyProtection="1">
      <alignment horizontal="right" vertical="top"/>
      <protection locked="0"/>
    </xf>
    <xf numFmtId="10" fontId="37" fillId="21" borderId="26" xfId="6" applyNumberFormat="1" applyFont="1" applyFill="1" applyBorder="1" applyAlignment="1" applyProtection="1">
      <alignment horizontal="right" vertical="top"/>
      <protection locked="0"/>
    </xf>
    <xf numFmtId="14" fontId="23" fillId="0" borderId="26" xfId="4" applyNumberFormat="1" applyFont="1" applyFill="1" applyBorder="1" applyAlignment="1" applyProtection="1">
      <alignment horizontal="left"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40</xdr:row>
      <xdr:rowOff>0</xdr:rowOff>
    </xdr:to>
    <xdr:cxnSp macro="">
      <xdr:nvCxnSpPr>
        <xdr:cNvPr id="23497" name="직선 화살표 연결선 23496">
          <a:extLst>
            <a:ext uri="{FF2B5EF4-FFF2-40B4-BE49-F238E27FC236}">
              <a16:creationId xmlns:a16="http://schemas.microsoft.com/office/drawing/2014/main" id="{35CDF063-3C07-4768-B3D8-BC28AE6EB25B}"/>
            </a:ext>
          </a:extLst>
        </xdr:cNvPr>
        <xdr:cNvCxnSpPr/>
      </xdr:nvCxnSpPr>
      <xdr:spPr>
        <a:xfrm>
          <a:off x="22479000" y="752348"/>
          <a:ext cx="0" cy="548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40</xdr:row>
      <xdr:rowOff>0</xdr:rowOff>
    </xdr:to>
    <xdr:cxnSp macro="">
      <xdr:nvCxnSpPr>
        <xdr:cNvPr id="23498" name="직선 화살표 연결선 23497">
          <a:extLst>
            <a:ext uri="{FF2B5EF4-FFF2-40B4-BE49-F238E27FC236}">
              <a16:creationId xmlns:a16="http://schemas.microsoft.com/office/drawing/2014/main" id="{872DD4E7-4FEA-4DCB-A253-53AE3723AD98}"/>
            </a:ext>
          </a:extLst>
        </xdr:cNvPr>
        <xdr:cNvCxnSpPr/>
      </xdr:nvCxnSpPr>
      <xdr:spPr>
        <a:xfrm>
          <a:off x="34671000" y="752348"/>
          <a:ext cx="0" cy="5486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xdr:row>
      <xdr:rowOff>76073</xdr:rowOff>
    </xdr:from>
    <xdr:to>
      <xdr:col>31</xdr:col>
      <xdr:colOff>81643</xdr:colOff>
      <xdr:row>40</xdr:row>
      <xdr:rowOff>0</xdr:rowOff>
    </xdr:to>
    <xdr:cxnSp macro="">
      <xdr:nvCxnSpPr>
        <xdr:cNvPr id="23499" name="직선 화살표 연결선 23498">
          <a:extLst>
            <a:ext uri="{FF2B5EF4-FFF2-40B4-BE49-F238E27FC236}">
              <a16:creationId xmlns:a16="http://schemas.microsoft.com/office/drawing/2014/main" id="{C94F1C8E-675C-4F7D-9FCD-175951E42CDE}"/>
            </a:ext>
          </a:extLst>
        </xdr:cNvPr>
        <xdr:cNvCxnSpPr/>
      </xdr:nvCxnSpPr>
      <xdr:spPr>
        <a:xfrm>
          <a:off x="10368643" y="752348"/>
          <a:ext cx="0" cy="5486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39</xdr:row>
      <xdr:rowOff>19050</xdr:rowOff>
    </xdr:from>
    <xdr:to>
      <xdr:col>57</xdr:col>
      <xdr:colOff>42090</xdr:colOff>
      <xdr:row>39</xdr:row>
      <xdr:rowOff>133350</xdr:rowOff>
    </xdr:to>
    <xdr:sp macro="" textlink="">
      <xdr:nvSpPr>
        <xdr:cNvPr id="23500" name="36">
          <a:extLst>
            <a:ext uri="{FF2B5EF4-FFF2-40B4-BE49-F238E27FC236}">
              <a16:creationId xmlns:a16="http://schemas.microsoft.com/office/drawing/2014/main" id="{4B55E743-C975-4F64-B4A4-5D2A19A4384F}"/>
            </a:ext>
          </a:extLst>
        </xdr:cNvPr>
        <xdr:cNvSpPr/>
      </xdr:nvSpPr>
      <xdr:spPr>
        <a:xfrm>
          <a:off x="14001750" y="6105525"/>
          <a:ext cx="420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0</xdr:colOff>
      <xdr:row>39</xdr:row>
      <xdr:rowOff>76200</xdr:rowOff>
    </xdr:from>
    <xdr:to>
      <xdr:col>57</xdr:col>
      <xdr:colOff>0</xdr:colOff>
      <xdr:row>39</xdr:row>
      <xdr:rowOff>76200</xdr:rowOff>
    </xdr:to>
    <xdr:cxnSp macro="">
      <xdr:nvCxnSpPr>
        <xdr:cNvPr id="23501" name="직선 화살표 연결선 23500">
          <a:extLst>
            <a:ext uri="{FF2B5EF4-FFF2-40B4-BE49-F238E27FC236}">
              <a16:creationId xmlns:a16="http://schemas.microsoft.com/office/drawing/2014/main" id="{C457352E-BA86-4BEA-B685-24DE88481834}"/>
            </a:ext>
          </a:extLst>
        </xdr:cNvPr>
        <xdr:cNvCxnSpPr/>
      </xdr:nvCxnSpPr>
      <xdr:spPr>
        <a:xfrm>
          <a:off x="14001750"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122464</xdr:colOff>
      <xdr:row>38</xdr:row>
      <xdr:rowOff>19050</xdr:rowOff>
    </xdr:from>
    <xdr:to>
      <xdr:col>57</xdr:col>
      <xdr:colOff>1270</xdr:colOff>
      <xdr:row>38</xdr:row>
      <xdr:rowOff>133350</xdr:rowOff>
    </xdr:to>
    <xdr:sp macro="" textlink="">
      <xdr:nvSpPr>
        <xdr:cNvPr id="23502" name="35">
          <a:extLst>
            <a:ext uri="{FF2B5EF4-FFF2-40B4-BE49-F238E27FC236}">
              <a16:creationId xmlns:a16="http://schemas.microsoft.com/office/drawing/2014/main" id="{6D9DE991-249D-45F6-8E99-F7BE08D21D3D}"/>
            </a:ext>
          </a:extLst>
        </xdr:cNvPr>
        <xdr:cNvSpPr/>
      </xdr:nvSpPr>
      <xdr:spPr>
        <a:xfrm>
          <a:off x="13695589" y="5953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122464</xdr:colOff>
      <xdr:row>38</xdr:row>
      <xdr:rowOff>76200</xdr:rowOff>
    </xdr:from>
    <xdr:to>
      <xdr:col>54</xdr:col>
      <xdr:colOff>122464</xdr:colOff>
      <xdr:row>38</xdr:row>
      <xdr:rowOff>76200</xdr:rowOff>
    </xdr:to>
    <xdr:cxnSp macro="">
      <xdr:nvCxnSpPr>
        <xdr:cNvPr id="23503" name="직선 화살표 연결선 23502">
          <a:extLst>
            <a:ext uri="{FF2B5EF4-FFF2-40B4-BE49-F238E27FC236}">
              <a16:creationId xmlns:a16="http://schemas.microsoft.com/office/drawing/2014/main" id="{FD848F1F-21ED-4385-A729-2D603284ABE2}"/>
            </a:ext>
          </a:extLst>
        </xdr:cNvPr>
        <xdr:cNvCxnSpPr/>
      </xdr:nvCxnSpPr>
      <xdr:spPr>
        <a:xfrm>
          <a:off x="13695589"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122464</xdr:colOff>
      <xdr:row>37</xdr:row>
      <xdr:rowOff>19050</xdr:rowOff>
    </xdr:from>
    <xdr:to>
      <xdr:col>57</xdr:col>
      <xdr:colOff>42090</xdr:colOff>
      <xdr:row>37</xdr:row>
      <xdr:rowOff>133350</xdr:rowOff>
    </xdr:to>
    <xdr:sp macro="" textlink="">
      <xdr:nvSpPr>
        <xdr:cNvPr id="23504" name="34">
          <a:extLst>
            <a:ext uri="{FF2B5EF4-FFF2-40B4-BE49-F238E27FC236}">
              <a16:creationId xmlns:a16="http://schemas.microsoft.com/office/drawing/2014/main" id="{1CACDB77-12C1-4783-BD0A-FD455F248ED0}"/>
            </a:ext>
          </a:extLst>
        </xdr:cNvPr>
        <xdr:cNvSpPr/>
      </xdr:nvSpPr>
      <xdr:spPr>
        <a:xfrm>
          <a:off x="13695589" y="5800725"/>
          <a:ext cx="34825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122464</xdr:colOff>
      <xdr:row>37</xdr:row>
      <xdr:rowOff>76200</xdr:rowOff>
    </xdr:from>
    <xdr:to>
      <xdr:col>54</xdr:col>
      <xdr:colOff>122464</xdr:colOff>
      <xdr:row>37</xdr:row>
      <xdr:rowOff>76200</xdr:rowOff>
    </xdr:to>
    <xdr:cxnSp macro="">
      <xdr:nvCxnSpPr>
        <xdr:cNvPr id="23505" name="직선 화살표 연결선 23504">
          <a:extLst>
            <a:ext uri="{FF2B5EF4-FFF2-40B4-BE49-F238E27FC236}">
              <a16:creationId xmlns:a16="http://schemas.microsoft.com/office/drawing/2014/main" id="{D8C45F18-E479-47EE-8858-8072B7AC2983}"/>
            </a:ext>
          </a:extLst>
        </xdr:cNvPr>
        <xdr:cNvCxnSpPr/>
      </xdr:nvCxnSpPr>
      <xdr:spPr>
        <a:xfrm>
          <a:off x="13695589"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61232</xdr:colOff>
      <xdr:row>36</xdr:row>
      <xdr:rowOff>19050</xdr:rowOff>
    </xdr:from>
    <xdr:to>
      <xdr:col>54</xdr:col>
      <xdr:colOff>123734</xdr:colOff>
      <xdr:row>36</xdr:row>
      <xdr:rowOff>133350</xdr:rowOff>
    </xdr:to>
    <xdr:sp macro="" textlink="">
      <xdr:nvSpPr>
        <xdr:cNvPr id="23506" name="33">
          <a:extLst>
            <a:ext uri="{FF2B5EF4-FFF2-40B4-BE49-F238E27FC236}">
              <a16:creationId xmlns:a16="http://schemas.microsoft.com/office/drawing/2014/main" id="{A124FB7C-96EE-4DD7-A223-9F29E349A42D}"/>
            </a:ext>
          </a:extLst>
        </xdr:cNvPr>
        <xdr:cNvSpPr/>
      </xdr:nvSpPr>
      <xdr:spPr>
        <a:xfrm>
          <a:off x="13491482" y="5648325"/>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61232</xdr:colOff>
      <xdr:row>36</xdr:row>
      <xdr:rowOff>76200</xdr:rowOff>
    </xdr:from>
    <xdr:to>
      <xdr:col>53</xdr:col>
      <xdr:colOff>61232</xdr:colOff>
      <xdr:row>36</xdr:row>
      <xdr:rowOff>76200</xdr:rowOff>
    </xdr:to>
    <xdr:cxnSp macro="">
      <xdr:nvCxnSpPr>
        <xdr:cNvPr id="23507" name="직선 화살표 연결선 23506">
          <a:extLst>
            <a:ext uri="{FF2B5EF4-FFF2-40B4-BE49-F238E27FC236}">
              <a16:creationId xmlns:a16="http://schemas.microsoft.com/office/drawing/2014/main" id="{4A57F56A-4993-44EC-A1D1-4D90BAB83DAC}"/>
            </a:ext>
          </a:extLst>
        </xdr:cNvPr>
        <xdr:cNvCxnSpPr/>
      </xdr:nvCxnSpPr>
      <xdr:spPr>
        <a:xfrm>
          <a:off x="13491482"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35</xdr:row>
      <xdr:rowOff>19050</xdr:rowOff>
    </xdr:from>
    <xdr:to>
      <xdr:col>53</xdr:col>
      <xdr:colOff>62502</xdr:colOff>
      <xdr:row>35</xdr:row>
      <xdr:rowOff>133350</xdr:rowOff>
    </xdr:to>
    <xdr:sp macro="" textlink="">
      <xdr:nvSpPr>
        <xdr:cNvPr id="23508" name="32">
          <a:extLst>
            <a:ext uri="{FF2B5EF4-FFF2-40B4-BE49-F238E27FC236}">
              <a16:creationId xmlns:a16="http://schemas.microsoft.com/office/drawing/2014/main" id="{5557C2DB-CD54-4307-9B6A-AED9640986AE}"/>
            </a:ext>
          </a:extLst>
        </xdr:cNvPr>
        <xdr:cNvSpPr/>
      </xdr:nvSpPr>
      <xdr:spPr>
        <a:xfrm>
          <a:off x="13083268" y="5495925"/>
          <a:ext cx="4094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35</xdr:row>
      <xdr:rowOff>76200</xdr:rowOff>
    </xdr:from>
    <xdr:to>
      <xdr:col>50</xdr:col>
      <xdr:colOff>81643</xdr:colOff>
      <xdr:row>35</xdr:row>
      <xdr:rowOff>76200</xdr:rowOff>
    </xdr:to>
    <xdr:cxnSp macro="">
      <xdr:nvCxnSpPr>
        <xdr:cNvPr id="23509" name="직선 화살표 연결선 23508">
          <a:extLst>
            <a:ext uri="{FF2B5EF4-FFF2-40B4-BE49-F238E27FC236}">
              <a16:creationId xmlns:a16="http://schemas.microsoft.com/office/drawing/2014/main" id="{D208BD84-8371-4EB0-8545-0E00241A9235}"/>
            </a:ext>
          </a:extLst>
        </xdr:cNvPr>
        <xdr:cNvCxnSpPr/>
      </xdr:nvCxnSpPr>
      <xdr:spPr>
        <a:xfrm>
          <a:off x="13083268"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34</xdr:row>
      <xdr:rowOff>19050</xdr:rowOff>
    </xdr:from>
    <xdr:to>
      <xdr:col>50</xdr:col>
      <xdr:colOff>82913</xdr:colOff>
      <xdr:row>34</xdr:row>
      <xdr:rowOff>133350</xdr:rowOff>
    </xdr:to>
    <xdr:sp macro="" textlink="">
      <xdr:nvSpPr>
        <xdr:cNvPr id="23510" name="31">
          <a:extLst>
            <a:ext uri="{FF2B5EF4-FFF2-40B4-BE49-F238E27FC236}">
              <a16:creationId xmlns:a16="http://schemas.microsoft.com/office/drawing/2014/main" id="{E3CBCE5C-9994-4F5B-81AA-015CA33E3CE5}"/>
            </a:ext>
          </a:extLst>
        </xdr:cNvPr>
        <xdr:cNvSpPr/>
      </xdr:nvSpPr>
      <xdr:spPr>
        <a:xfrm>
          <a:off x="12879160" y="5343525"/>
          <a:ext cx="20537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34</xdr:row>
      <xdr:rowOff>76200</xdr:rowOff>
    </xdr:from>
    <xdr:to>
      <xdr:col>49</xdr:col>
      <xdr:colOff>20410</xdr:colOff>
      <xdr:row>34</xdr:row>
      <xdr:rowOff>76200</xdr:rowOff>
    </xdr:to>
    <xdr:cxnSp macro="">
      <xdr:nvCxnSpPr>
        <xdr:cNvPr id="23511" name="직선 화살표 연결선 23510">
          <a:extLst>
            <a:ext uri="{FF2B5EF4-FFF2-40B4-BE49-F238E27FC236}">
              <a16:creationId xmlns:a16="http://schemas.microsoft.com/office/drawing/2014/main" id="{D8B57E9A-FBE8-4DFE-BE75-836AFB7AC5D5}"/>
            </a:ext>
          </a:extLst>
        </xdr:cNvPr>
        <xdr:cNvCxnSpPr/>
      </xdr:nvCxnSpPr>
      <xdr:spPr>
        <a:xfrm>
          <a:off x="12879160"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33</xdr:row>
      <xdr:rowOff>19050</xdr:rowOff>
    </xdr:from>
    <xdr:to>
      <xdr:col>54</xdr:col>
      <xdr:colOff>123734</xdr:colOff>
      <xdr:row>33</xdr:row>
      <xdr:rowOff>133350</xdr:rowOff>
    </xdr:to>
    <xdr:sp macro="" textlink="">
      <xdr:nvSpPr>
        <xdr:cNvPr id="23512" name="30">
          <a:extLst>
            <a:ext uri="{FF2B5EF4-FFF2-40B4-BE49-F238E27FC236}">
              <a16:creationId xmlns:a16="http://schemas.microsoft.com/office/drawing/2014/main" id="{2557765D-F85B-416B-8744-2C40B2F10DC0}"/>
            </a:ext>
          </a:extLst>
        </xdr:cNvPr>
        <xdr:cNvSpPr/>
      </xdr:nvSpPr>
      <xdr:spPr>
        <a:xfrm>
          <a:off x="12879160" y="5191125"/>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33</xdr:row>
      <xdr:rowOff>76200</xdr:rowOff>
    </xdr:from>
    <xdr:to>
      <xdr:col>49</xdr:col>
      <xdr:colOff>20410</xdr:colOff>
      <xdr:row>33</xdr:row>
      <xdr:rowOff>76200</xdr:rowOff>
    </xdr:to>
    <xdr:cxnSp macro="">
      <xdr:nvCxnSpPr>
        <xdr:cNvPr id="23513" name="직선 화살표 연결선 23512">
          <a:extLst>
            <a:ext uri="{FF2B5EF4-FFF2-40B4-BE49-F238E27FC236}">
              <a16:creationId xmlns:a16="http://schemas.microsoft.com/office/drawing/2014/main" id="{04AF6D0E-C016-4221-BA89-1B949C2090D3}"/>
            </a:ext>
          </a:extLst>
        </xdr:cNvPr>
        <xdr:cNvCxnSpPr/>
      </xdr:nvCxnSpPr>
      <xdr:spPr>
        <a:xfrm>
          <a:off x="12879160"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32</xdr:row>
      <xdr:rowOff>19050</xdr:rowOff>
    </xdr:from>
    <xdr:to>
      <xdr:col>49</xdr:col>
      <xdr:colOff>21680</xdr:colOff>
      <xdr:row>32</xdr:row>
      <xdr:rowOff>133350</xdr:rowOff>
    </xdr:to>
    <xdr:sp macro="" textlink="">
      <xdr:nvSpPr>
        <xdr:cNvPr id="23514" name="29">
          <a:extLst>
            <a:ext uri="{FF2B5EF4-FFF2-40B4-BE49-F238E27FC236}">
              <a16:creationId xmlns:a16="http://schemas.microsoft.com/office/drawing/2014/main" id="{F909216C-21A5-42F6-A503-F72A2575643D}"/>
            </a:ext>
          </a:extLst>
        </xdr:cNvPr>
        <xdr:cNvSpPr/>
      </xdr:nvSpPr>
      <xdr:spPr>
        <a:xfrm>
          <a:off x="12715875" y="50387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32</xdr:row>
      <xdr:rowOff>76200</xdr:rowOff>
    </xdr:from>
    <xdr:to>
      <xdr:col>48</xdr:col>
      <xdr:colOff>0</xdr:colOff>
      <xdr:row>32</xdr:row>
      <xdr:rowOff>76200</xdr:rowOff>
    </xdr:to>
    <xdr:cxnSp macro="">
      <xdr:nvCxnSpPr>
        <xdr:cNvPr id="23515" name="직선 화살표 연결선 23514">
          <a:extLst>
            <a:ext uri="{FF2B5EF4-FFF2-40B4-BE49-F238E27FC236}">
              <a16:creationId xmlns:a16="http://schemas.microsoft.com/office/drawing/2014/main" id="{4C2AD9C6-DA2F-4D37-89E2-29583AC2FBA0}"/>
            </a:ext>
          </a:extLst>
        </xdr:cNvPr>
        <xdr:cNvCxnSpPr/>
      </xdr:nvCxnSpPr>
      <xdr:spPr>
        <a:xfrm>
          <a:off x="12715875"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61232</xdr:colOff>
      <xdr:row>31</xdr:row>
      <xdr:rowOff>19050</xdr:rowOff>
    </xdr:from>
    <xdr:to>
      <xdr:col>48</xdr:col>
      <xdr:colOff>1270</xdr:colOff>
      <xdr:row>31</xdr:row>
      <xdr:rowOff>133350</xdr:rowOff>
    </xdr:to>
    <xdr:sp macro="" textlink="">
      <xdr:nvSpPr>
        <xdr:cNvPr id="23516" name="28">
          <a:extLst>
            <a:ext uri="{FF2B5EF4-FFF2-40B4-BE49-F238E27FC236}">
              <a16:creationId xmlns:a16="http://schemas.microsoft.com/office/drawing/2014/main" id="{0C2A1906-9D7A-4D36-AC2D-251CE0EF357D}"/>
            </a:ext>
          </a:extLst>
        </xdr:cNvPr>
        <xdr:cNvSpPr/>
      </xdr:nvSpPr>
      <xdr:spPr>
        <a:xfrm>
          <a:off x="12348482" y="48863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61232</xdr:colOff>
      <xdr:row>31</xdr:row>
      <xdr:rowOff>76200</xdr:rowOff>
    </xdr:from>
    <xdr:to>
      <xdr:col>45</xdr:col>
      <xdr:colOff>61232</xdr:colOff>
      <xdr:row>31</xdr:row>
      <xdr:rowOff>76200</xdr:rowOff>
    </xdr:to>
    <xdr:cxnSp macro="">
      <xdr:nvCxnSpPr>
        <xdr:cNvPr id="23517" name="직선 화살표 연결선 23516">
          <a:extLst>
            <a:ext uri="{FF2B5EF4-FFF2-40B4-BE49-F238E27FC236}">
              <a16:creationId xmlns:a16="http://schemas.microsoft.com/office/drawing/2014/main" id="{1A667420-88BD-4F47-92E2-157302100DFC}"/>
            </a:ext>
          </a:extLst>
        </xdr:cNvPr>
        <xdr:cNvCxnSpPr/>
      </xdr:nvCxnSpPr>
      <xdr:spPr>
        <a:xfrm>
          <a:off x="12348482"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30</xdr:row>
      <xdr:rowOff>19050</xdr:rowOff>
    </xdr:from>
    <xdr:to>
      <xdr:col>45</xdr:col>
      <xdr:colOff>62502</xdr:colOff>
      <xdr:row>30</xdr:row>
      <xdr:rowOff>133350</xdr:rowOff>
    </xdr:to>
    <xdr:sp macro="" textlink="">
      <xdr:nvSpPr>
        <xdr:cNvPr id="23518" name="27">
          <a:extLst>
            <a:ext uri="{FF2B5EF4-FFF2-40B4-BE49-F238E27FC236}">
              <a16:creationId xmlns:a16="http://schemas.microsoft.com/office/drawing/2014/main" id="{B252025D-AA33-47F6-A5F6-833C55C4519E}"/>
            </a:ext>
          </a:extLst>
        </xdr:cNvPr>
        <xdr:cNvSpPr/>
      </xdr:nvSpPr>
      <xdr:spPr>
        <a:xfrm>
          <a:off x="12001500" y="4733925"/>
          <a:ext cx="3482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30</xdr:row>
      <xdr:rowOff>76200</xdr:rowOff>
    </xdr:from>
    <xdr:to>
      <xdr:col>43</xdr:col>
      <xdr:colOff>0</xdr:colOff>
      <xdr:row>30</xdr:row>
      <xdr:rowOff>76200</xdr:rowOff>
    </xdr:to>
    <xdr:cxnSp macro="">
      <xdr:nvCxnSpPr>
        <xdr:cNvPr id="23519" name="직선 화살표 연결선 23518">
          <a:extLst>
            <a:ext uri="{FF2B5EF4-FFF2-40B4-BE49-F238E27FC236}">
              <a16:creationId xmlns:a16="http://schemas.microsoft.com/office/drawing/2014/main" id="{BA76361D-8A57-42C4-B1EA-D64E303BFC95}"/>
            </a:ext>
          </a:extLst>
        </xdr:cNvPr>
        <xdr:cNvCxnSpPr/>
      </xdr:nvCxnSpPr>
      <xdr:spPr>
        <a:xfrm>
          <a:off x="1200150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29</xdr:row>
      <xdr:rowOff>19050</xdr:rowOff>
    </xdr:from>
    <xdr:to>
      <xdr:col>49</xdr:col>
      <xdr:colOff>21680</xdr:colOff>
      <xdr:row>29</xdr:row>
      <xdr:rowOff>133350</xdr:rowOff>
    </xdr:to>
    <xdr:sp macro="" textlink="">
      <xdr:nvSpPr>
        <xdr:cNvPr id="23520" name="26">
          <a:extLst>
            <a:ext uri="{FF2B5EF4-FFF2-40B4-BE49-F238E27FC236}">
              <a16:creationId xmlns:a16="http://schemas.microsoft.com/office/drawing/2014/main" id="{961A0AA3-F0A6-4E1F-9156-C2A78C17E90E}"/>
            </a:ext>
          </a:extLst>
        </xdr:cNvPr>
        <xdr:cNvSpPr/>
      </xdr:nvSpPr>
      <xdr:spPr>
        <a:xfrm>
          <a:off x="12001500" y="4581525"/>
          <a:ext cx="878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29</xdr:row>
      <xdr:rowOff>76200</xdr:rowOff>
    </xdr:from>
    <xdr:to>
      <xdr:col>43</xdr:col>
      <xdr:colOff>0</xdr:colOff>
      <xdr:row>29</xdr:row>
      <xdr:rowOff>76200</xdr:rowOff>
    </xdr:to>
    <xdr:cxnSp macro="">
      <xdr:nvCxnSpPr>
        <xdr:cNvPr id="23521" name="직선 화살표 연결선 23520">
          <a:extLst>
            <a:ext uri="{FF2B5EF4-FFF2-40B4-BE49-F238E27FC236}">
              <a16:creationId xmlns:a16="http://schemas.microsoft.com/office/drawing/2014/main" id="{23922446-E890-48E2-8C96-4E5C754F3141}"/>
            </a:ext>
          </a:extLst>
        </xdr:cNvPr>
        <xdr:cNvCxnSpPr/>
      </xdr:nvCxnSpPr>
      <xdr:spPr>
        <a:xfrm>
          <a:off x="12001500"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28</xdr:row>
      <xdr:rowOff>19050</xdr:rowOff>
    </xdr:from>
    <xdr:to>
      <xdr:col>43</xdr:col>
      <xdr:colOff>1270</xdr:colOff>
      <xdr:row>28</xdr:row>
      <xdr:rowOff>133350</xdr:rowOff>
    </xdr:to>
    <xdr:sp macro="" textlink="">
      <xdr:nvSpPr>
        <xdr:cNvPr id="23522" name="25">
          <a:extLst>
            <a:ext uri="{FF2B5EF4-FFF2-40B4-BE49-F238E27FC236}">
              <a16:creationId xmlns:a16="http://schemas.microsoft.com/office/drawing/2014/main" id="{105F6FA0-9EF5-4DA6-BDCB-2F86B7C64DBC}"/>
            </a:ext>
          </a:extLst>
        </xdr:cNvPr>
        <xdr:cNvSpPr/>
      </xdr:nvSpPr>
      <xdr:spPr>
        <a:xfrm>
          <a:off x="11797393" y="4429125"/>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28</xdr:row>
      <xdr:rowOff>76200</xdr:rowOff>
    </xdr:from>
    <xdr:to>
      <xdr:col>41</xdr:col>
      <xdr:colOff>81643</xdr:colOff>
      <xdr:row>28</xdr:row>
      <xdr:rowOff>76200</xdr:rowOff>
    </xdr:to>
    <xdr:cxnSp macro="">
      <xdr:nvCxnSpPr>
        <xdr:cNvPr id="23523" name="직선 화살표 연결선 23522">
          <a:extLst>
            <a:ext uri="{FF2B5EF4-FFF2-40B4-BE49-F238E27FC236}">
              <a16:creationId xmlns:a16="http://schemas.microsoft.com/office/drawing/2014/main" id="{72F24BC4-FFE6-472E-803E-22ACEC6919EF}"/>
            </a:ext>
          </a:extLst>
        </xdr:cNvPr>
        <xdr:cNvCxnSpPr/>
      </xdr:nvCxnSpPr>
      <xdr:spPr>
        <a:xfrm>
          <a:off x="11797393"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27</xdr:row>
      <xdr:rowOff>19050</xdr:rowOff>
    </xdr:from>
    <xdr:to>
      <xdr:col>41</xdr:col>
      <xdr:colOff>82913</xdr:colOff>
      <xdr:row>27</xdr:row>
      <xdr:rowOff>133350</xdr:rowOff>
    </xdr:to>
    <xdr:sp macro="" textlink="">
      <xdr:nvSpPr>
        <xdr:cNvPr id="23524" name="24">
          <a:extLst>
            <a:ext uri="{FF2B5EF4-FFF2-40B4-BE49-F238E27FC236}">
              <a16:creationId xmlns:a16="http://schemas.microsoft.com/office/drawing/2014/main" id="{B72559DD-06FA-461F-981A-EC1EF9DB4884}"/>
            </a:ext>
          </a:extLst>
        </xdr:cNvPr>
        <xdr:cNvSpPr/>
      </xdr:nvSpPr>
      <xdr:spPr>
        <a:xfrm>
          <a:off x="11389178" y="42767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27</xdr:row>
      <xdr:rowOff>76200</xdr:rowOff>
    </xdr:from>
    <xdr:to>
      <xdr:col>38</xdr:col>
      <xdr:colOff>102053</xdr:colOff>
      <xdr:row>27</xdr:row>
      <xdr:rowOff>76200</xdr:rowOff>
    </xdr:to>
    <xdr:cxnSp macro="">
      <xdr:nvCxnSpPr>
        <xdr:cNvPr id="23525" name="직선 화살표 연결선 23524">
          <a:extLst>
            <a:ext uri="{FF2B5EF4-FFF2-40B4-BE49-F238E27FC236}">
              <a16:creationId xmlns:a16="http://schemas.microsoft.com/office/drawing/2014/main" id="{89E1B84C-FD9F-4B87-8CD0-35B3A9F7EA5B}"/>
            </a:ext>
          </a:extLst>
        </xdr:cNvPr>
        <xdr:cNvCxnSpPr/>
      </xdr:nvCxnSpPr>
      <xdr:spPr>
        <a:xfrm>
          <a:off x="11389178"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26</xdr:row>
      <xdr:rowOff>19050</xdr:rowOff>
    </xdr:from>
    <xdr:to>
      <xdr:col>38</xdr:col>
      <xdr:colOff>82913</xdr:colOff>
      <xdr:row>26</xdr:row>
      <xdr:rowOff>133350</xdr:rowOff>
    </xdr:to>
    <xdr:sp macro="" textlink="">
      <xdr:nvSpPr>
        <xdr:cNvPr id="23526" name="23">
          <a:extLst>
            <a:ext uri="{FF2B5EF4-FFF2-40B4-BE49-F238E27FC236}">
              <a16:creationId xmlns:a16="http://schemas.microsoft.com/office/drawing/2014/main" id="{483548FC-4BAC-4FD9-B93B-33EE53EBBF83}"/>
            </a:ext>
          </a:extLst>
        </xdr:cNvPr>
        <xdr:cNvSpPr/>
      </xdr:nvSpPr>
      <xdr:spPr>
        <a:xfrm>
          <a:off x="11042197" y="41243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26</xdr:row>
      <xdr:rowOff>76200</xdr:rowOff>
    </xdr:from>
    <xdr:to>
      <xdr:col>36</xdr:col>
      <xdr:colOff>40822</xdr:colOff>
      <xdr:row>26</xdr:row>
      <xdr:rowOff>76200</xdr:rowOff>
    </xdr:to>
    <xdr:cxnSp macro="">
      <xdr:nvCxnSpPr>
        <xdr:cNvPr id="23527" name="직선 화살표 연결선 23526">
          <a:extLst>
            <a:ext uri="{FF2B5EF4-FFF2-40B4-BE49-F238E27FC236}">
              <a16:creationId xmlns:a16="http://schemas.microsoft.com/office/drawing/2014/main" id="{69846FFD-0BBA-4A31-99A1-5BD4707A1F1B}"/>
            </a:ext>
          </a:extLst>
        </xdr:cNvPr>
        <xdr:cNvCxnSpPr/>
      </xdr:nvCxnSpPr>
      <xdr:spPr>
        <a:xfrm>
          <a:off x="11042197"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25</xdr:row>
      <xdr:rowOff>19050</xdr:rowOff>
    </xdr:from>
    <xdr:to>
      <xdr:col>43</xdr:col>
      <xdr:colOff>1270</xdr:colOff>
      <xdr:row>25</xdr:row>
      <xdr:rowOff>133350</xdr:rowOff>
    </xdr:to>
    <xdr:sp macro="" textlink="">
      <xdr:nvSpPr>
        <xdr:cNvPr id="23528" name="22">
          <a:extLst>
            <a:ext uri="{FF2B5EF4-FFF2-40B4-BE49-F238E27FC236}">
              <a16:creationId xmlns:a16="http://schemas.microsoft.com/office/drawing/2014/main" id="{9A537BE2-6B70-4092-9A59-939BB0E91A6B}"/>
            </a:ext>
          </a:extLst>
        </xdr:cNvPr>
        <xdr:cNvSpPr/>
      </xdr:nvSpPr>
      <xdr:spPr>
        <a:xfrm>
          <a:off x="11042197" y="3971925"/>
          <a:ext cx="9605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25</xdr:row>
      <xdr:rowOff>76200</xdr:rowOff>
    </xdr:from>
    <xdr:to>
      <xdr:col>36</xdr:col>
      <xdr:colOff>40822</xdr:colOff>
      <xdr:row>25</xdr:row>
      <xdr:rowOff>76200</xdr:rowOff>
    </xdr:to>
    <xdr:cxnSp macro="">
      <xdr:nvCxnSpPr>
        <xdr:cNvPr id="23529" name="직선 화살표 연결선 23528">
          <a:extLst>
            <a:ext uri="{FF2B5EF4-FFF2-40B4-BE49-F238E27FC236}">
              <a16:creationId xmlns:a16="http://schemas.microsoft.com/office/drawing/2014/main" id="{6F6A9B49-207D-449A-BE45-196F7BDD1BEE}"/>
            </a:ext>
          </a:extLst>
        </xdr:cNvPr>
        <xdr:cNvCxnSpPr/>
      </xdr:nvCxnSpPr>
      <xdr:spPr>
        <a:xfrm>
          <a:off x="11042197"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24</xdr:row>
      <xdr:rowOff>19050</xdr:rowOff>
    </xdr:from>
    <xdr:to>
      <xdr:col>36</xdr:col>
      <xdr:colOff>42091</xdr:colOff>
      <xdr:row>24</xdr:row>
      <xdr:rowOff>133350</xdr:rowOff>
    </xdr:to>
    <xdr:sp macro="" textlink="">
      <xdr:nvSpPr>
        <xdr:cNvPr id="23530" name="21">
          <a:extLst>
            <a:ext uri="{FF2B5EF4-FFF2-40B4-BE49-F238E27FC236}">
              <a16:creationId xmlns:a16="http://schemas.microsoft.com/office/drawing/2014/main" id="{4DAEB94F-56AD-4FF2-AED0-BB6588562C2D}"/>
            </a:ext>
          </a:extLst>
        </xdr:cNvPr>
        <xdr:cNvSpPr/>
      </xdr:nvSpPr>
      <xdr:spPr>
        <a:xfrm>
          <a:off x="10899322" y="3819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24</xdr:row>
      <xdr:rowOff>76200</xdr:rowOff>
    </xdr:from>
    <xdr:to>
      <xdr:col>35</xdr:col>
      <xdr:colOff>40822</xdr:colOff>
      <xdr:row>24</xdr:row>
      <xdr:rowOff>76200</xdr:rowOff>
    </xdr:to>
    <xdr:cxnSp macro="">
      <xdr:nvCxnSpPr>
        <xdr:cNvPr id="23531" name="직선 화살표 연결선 23530">
          <a:extLst>
            <a:ext uri="{FF2B5EF4-FFF2-40B4-BE49-F238E27FC236}">
              <a16:creationId xmlns:a16="http://schemas.microsoft.com/office/drawing/2014/main" id="{6A5F3066-37DA-42D3-B01F-C1B8BC8E7E69}"/>
            </a:ext>
          </a:extLst>
        </xdr:cNvPr>
        <xdr:cNvCxnSpPr/>
      </xdr:nvCxnSpPr>
      <xdr:spPr>
        <a:xfrm>
          <a:off x="10899322"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23</xdr:row>
      <xdr:rowOff>19050</xdr:rowOff>
    </xdr:from>
    <xdr:to>
      <xdr:col>35</xdr:col>
      <xdr:colOff>42091</xdr:colOff>
      <xdr:row>23</xdr:row>
      <xdr:rowOff>133350</xdr:rowOff>
    </xdr:to>
    <xdr:sp macro="" textlink="">
      <xdr:nvSpPr>
        <xdr:cNvPr id="23532" name="20">
          <a:extLst>
            <a:ext uri="{FF2B5EF4-FFF2-40B4-BE49-F238E27FC236}">
              <a16:creationId xmlns:a16="http://schemas.microsoft.com/office/drawing/2014/main" id="{554389FD-3FDF-46EC-922C-09C1BAC839A0}"/>
            </a:ext>
          </a:extLst>
        </xdr:cNvPr>
        <xdr:cNvSpPr/>
      </xdr:nvSpPr>
      <xdr:spPr>
        <a:xfrm>
          <a:off x="10593160" y="3667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23</xdr:row>
      <xdr:rowOff>76200</xdr:rowOff>
    </xdr:from>
    <xdr:to>
      <xdr:col>33</xdr:col>
      <xdr:colOff>20410</xdr:colOff>
      <xdr:row>23</xdr:row>
      <xdr:rowOff>76200</xdr:rowOff>
    </xdr:to>
    <xdr:cxnSp macro="">
      <xdr:nvCxnSpPr>
        <xdr:cNvPr id="23533" name="직선 화살표 연결선 23532">
          <a:extLst>
            <a:ext uri="{FF2B5EF4-FFF2-40B4-BE49-F238E27FC236}">
              <a16:creationId xmlns:a16="http://schemas.microsoft.com/office/drawing/2014/main" id="{09E572F0-C115-4120-BE88-9ED126D0293B}"/>
            </a:ext>
          </a:extLst>
        </xdr:cNvPr>
        <xdr:cNvCxnSpPr/>
      </xdr:nvCxnSpPr>
      <xdr:spPr>
        <a:xfrm>
          <a:off x="1059316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22</xdr:row>
      <xdr:rowOff>19050</xdr:rowOff>
    </xdr:from>
    <xdr:to>
      <xdr:col>33</xdr:col>
      <xdr:colOff>21680</xdr:colOff>
      <xdr:row>22</xdr:row>
      <xdr:rowOff>133350</xdr:rowOff>
    </xdr:to>
    <xdr:sp macro="" textlink="">
      <xdr:nvSpPr>
        <xdr:cNvPr id="23534" name="19">
          <a:extLst>
            <a:ext uri="{FF2B5EF4-FFF2-40B4-BE49-F238E27FC236}">
              <a16:creationId xmlns:a16="http://schemas.microsoft.com/office/drawing/2014/main" id="{C54E2D0F-6D6C-4698-A4C1-1184D1B04B92}"/>
            </a:ext>
          </a:extLst>
        </xdr:cNvPr>
        <xdr:cNvSpPr/>
      </xdr:nvSpPr>
      <xdr:spPr>
        <a:xfrm>
          <a:off x="10307410" y="35147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22</xdr:row>
      <xdr:rowOff>76200</xdr:rowOff>
    </xdr:from>
    <xdr:to>
      <xdr:col>31</xdr:col>
      <xdr:colOff>20410</xdr:colOff>
      <xdr:row>22</xdr:row>
      <xdr:rowOff>76200</xdr:rowOff>
    </xdr:to>
    <xdr:cxnSp macro="">
      <xdr:nvCxnSpPr>
        <xdr:cNvPr id="23535" name="직선 화살표 연결선 23534">
          <a:extLst>
            <a:ext uri="{FF2B5EF4-FFF2-40B4-BE49-F238E27FC236}">
              <a16:creationId xmlns:a16="http://schemas.microsoft.com/office/drawing/2014/main" id="{DB452D18-4750-4F28-8AB7-0D4AAC5D714D}"/>
            </a:ext>
          </a:extLst>
        </xdr:cNvPr>
        <xdr:cNvCxnSpPr/>
      </xdr:nvCxnSpPr>
      <xdr:spPr>
        <a:xfrm>
          <a:off x="10307410"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21</xdr:row>
      <xdr:rowOff>19050</xdr:rowOff>
    </xdr:from>
    <xdr:to>
      <xdr:col>36</xdr:col>
      <xdr:colOff>42091</xdr:colOff>
      <xdr:row>21</xdr:row>
      <xdr:rowOff>133350</xdr:rowOff>
    </xdr:to>
    <xdr:sp macro="" textlink="">
      <xdr:nvSpPr>
        <xdr:cNvPr id="23536" name="18">
          <a:extLst>
            <a:ext uri="{FF2B5EF4-FFF2-40B4-BE49-F238E27FC236}">
              <a16:creationId xmlns:a16="http://schemas.microsoft.com/office/drawing/2014/main" id="{BE29475F-697F-42A9-BF74-826BF851242E}"/>
            </a:ext>
          </a:extLst>
        </xdr:cNvPr>
        <xdr:cNvSpPr/>
      </xdr:nvSpPr>
      <xdr:spPr>
        <a:xfrm>
          <a:off x="10307410" y="33623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21</xdr:row>
      <xdr:rowOff>76200</xdr:rowOff>
    </xdr:from>
    <xdr:to>
      <xdr:col>31</xdr:col>
      <xdr:colOff>20410</xdr:colOff>
      <xdr:row>21</xdr:row>
      <xdr:rowOff>76200</xdr:rowOff>
    </xdr:to>
    <xdr:cxnSp macro="">
      <xdr:nvCxnSpPr>
        <xdr:cNvPr id="23537" name="직선 화살표 연결선 23536">
          <a:extLst>
            <a:ext uri="{FF2B5EF4-FFF2-40B4-BE49-F238E27FC236}">
              <a16:creationId xmlns:a16="http://schemas.microsoft.com/office/drawing/2014/main" id="{EADB80D0-0E8F-4F33-927C-99C34ADE3EEF}"/>
            </a:ext>
          </a:extLst>
        </xdr:cNvPr>
        <xdr:cNvCxnSpPr/>
      </xdr:nvCxnSpPr>
      <xdr:spPr>
        <a:xfrm>
          <a:off x="1030741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20</xdr:row>
      <xdr:rowOff>19050</xdr:rowOff>
    </xdr:from>
    <xdr:to>
      <xdr:col>57</xdr:col>
      <xdr:colOff>42090</xdr:colOff>
      <xdr:row>20</xdr:row>
      <xdr:rowOff>133350</xdr:rowOff>
    </xdr:to>
    <xdr:sp macro="" textlink="">
      <xdr:nvSpPr>
        <xdr:cNvPr id="23538" name="17">
          <a:extLst>
            <a:ext uri="{FF2B5EF4-FFF2-40B4-BE49-F238E27FC236}">
              <a16:creationId xmlns:a16="http://schemas.microsoft.com/office/drawing/2014/main" id="{AAF63759-D6BE-4734-A487-31107C415440}"/>
            </a:ext>
          </a:extLst>
        </xdr:cNvPr>
        <xdr:cNvSpPr/>
      </xdr:nvSpPr>
      <xdr:spPr>
        <a:xfrm>
          <a:off x="10307410" y="3209925"/>
          <a:ext cx="37364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20</xdr:row>
      <xdr:rowOff>76200</xdr:rowOff>
    </xdr:from>
    <xdr:to>
      <xdr:col>31</xdr:col>
      <xdr:colOff>20410</xdr:colOff>
      <xdr:row>20</xdr:row>
      <xdr:rowOff>76200</xdr:rowOff>
    </xdr:to>
    <xdr:cxnSp macro="">
      <xdr:nvCxnSpPr>
        <xdr:cNvPr id="23539" name="직선 화살표 연결선 23538">
          <a:extLst>
            <a:ext uri="{FF2B5EF4-FFF2-40B4-BE49-F238E27FC236}">
              <a16:creationId xmlns:a16="http://schemas.microsoft.com/office/drawing/2014/main" id="{1A0F13D3-22E1-4A77-984A-09CCF2CA5AFF}"/>
            </a:ext>
          </a:extLst>
        </xdr:cNvPr>
        <xdr:cNvCxnSpPr/>
      </xdr:nvCxnSpPr>
      <xdr:spPr>
        <a:xfrm>
          <a:off x="10307410"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20411</xdr:colOff>
      <xdr:row>19</xdr:row>
      <xdr:rowOff>19050</xdr:rowOff>
    </xdr:from>
    <xdr:to>
      <xdr:col>59</xdr:col>
      <xdr:colOff>62502</xdr:colOff>
      <xdr:row>19</xdr:row>
      <xdr:rowOff>133350</xdr:rowOff>
    </xdr:to>
    <xdr:sp macro="" textlink="">
      <xdr:nvSpPr>
        <xdr:cNvPr id="23540" name="16">
          <a:extLst>
            <a:ext uri="{FF2B5EF4-FFF2-40B4-BE49-F238E27FC236}">
              <a16:creationId xmlns:a16="http://schemas.microsoft.com/office/drawing/2014/main" id="{6DD8B5E9-A152-4F95-BE0A-790EBB3F31E7}"/>
            </a:ext>
          </a:extLst>
        </xdr:cNvPr>
        <xdr:cNvSpPr/>
      </xdr:nvSpPr>
      <xdr:spPr>
        <a:xfrm>
          <a:off x="14165036" y="30575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20411</xdr:colOff>
      <xdr:row>19</xdr:row>
      <xdr:rowOff>76200</xdr:rowOff>
    </xdr:from>
    <xdr:to>
      <xdr:col>58</xdr:col>
      <xdr:colOff>20411</xdr:colOff>
      <xdr:row>19</xdr:row>
      <xdr:rowOff>76200</xdr:rowOff>
    </xdr:to>
    <xdr:cxnSp macro="">
      <xdr:nvCxnSpPr>
        <xdr:cNvPr id="23541" name="직선 화살표 연결선 23540">
          <a:extLst>
            <a:ext uri="{FF2B5EF4-FFF2-40B4-BE49-F238E27FC236}">
              <a16:creationId xmlns:a16="http://schemas.microsoft.com/office/drawing/2014/main" id="{16B4E651-1572-4101-9A53-C9FEA60BC07B}"/>
            </a:ext>
          </a:extLst>
        </xdr:cNvPr>
        <xdr:cNvCxnSpPr/>
      </xdr:nvCxnSpPr>
      <xdr:spPr>
        <a:xfrm>
          <a:off x="1416503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18</xdr:row>
      <xdr:rowOff>19050</xdr:rowOff>
    </xdr:from>
    <xdr:to>
      <xdr:col>58</xdr:col>
      <xdr:colOff>21681</xdr:colOff>
      <xdr:row>18</xdr:row>
      <xdr:rowOff>133350</xdr:rowOff>
    </xdr:to>
    <xdr:sp macro="" textlink="">
      <xdr:nvSpPr>
        <xdr:cNvPr id="23542" name="15">
          <a:extLst>
            <a:ext uri="{FF2B5EF4-FFF2-40B4-BE49-F238E27FC236}">
              <a16:creationId xmlns:a16="http://schemas.microsoft.com/office/drawing/2014/main" id="{49D8A73C-C8C7-45A8-BA97-B3DFF596D81A}"/>
            </a:ext>
          </a:extLst>
        </xdr:cNvPr>
        <xdr:cNvSpPr/>
      </xdr:nvSpPr>
      <xdr:spPr>
        <a:xfrm>
          <a:off x="13879286" y="29051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18</xdr:row>
      <xdr:rowOff>76200</xdr:rowOff>
    </xdr:from>
    <xdr:to>
      <xdr:col>56</xdr:col>
      <xdr:colOff>20411</xdr:colOff>
      <xdr:row>18</xdr:row>
      <xdr:rowOff>76200</xdr:rowOff>
    </xdr:to>
    <xdr:cxnSp macro="">
      <xdr:nvCxnSpPr>
        <xdr:cNvPr id="23543" name="직선 화살표 연결선 23542">
          <a:extLst>
            <a:ext uri="{FF2B5EF4-FFF2-40B4-BE49-F238E27FC236}">
              <a16:creationId xmlns:a16="http://schemas.microsoft.com/office/drawing/2014/main" id="{9FB14564-4F8A-4B57-B6EA-82E2D1092B5C}"/>
            </a:ext>
          </a:extLst>
        </xdr:cNvPr>
        <xdr:cNvCxnSpPr/>
      </xdr:nvCxnSpPr>
      <xdr:spPr>
        <a:xfrm>
          <a:off x="13879286"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20411</xdr:colOff>
      <xdr:row>17</xdr:row>
      <xdr:rowOff>19050</xdr:rowOff>
    </xdr:from>
    <xdr:to>
      <xdr:col>59</xdr:col>
      <xdr:colOff>62502</xdr:colOff>
      <xdr:row>17</xdr:row>
      <xdr:rowOff>133350</xdr:rowOff>
    </xdr:to>
    <xdr:sp macro="" textlink="">
      <xdr:nvSpPr>
        <xdr:cNvPr id="23544" name="14">
          <a:extLst>
            <a:ext uri="{FF2B5EF4-FFF2-40B4-BE49-F238E27FC236}">
              <a16:creationId xmlns:a16="http://schemas.microsoft.com/office/drawing/2014/main" id="{B6A79AC5-8004-411B-B700-F5F33B36F4CE}"/>
            </a:ext>
          </a:extLst>
        </xdr:cNvPr>
        <xdr:cNvSpPr/>
      </xdr:nvSpPr>
      <xdr:spPr>
        <a:xfrm>
          <a:off x="13879286" y="27527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20411</xdr:colOff>
      <xdr:row>17</xdr:row>
      <xdr:rowOff>76200</xdr:rowOff>
    </xdr:from>
    <xdr:to>
      <xdr:col>56</xdr:col>
      <xdr:colOff>20411</xdr:colOff>
      <xdr:row>17</xdr:row>
      <xdr:rowOff>76200</xdr:rowOff>
    </xdr:to>
    <xdr:cxnSp macro="">
      <xdr:nvCxnSpPr>
        <xdr:cNvPr id="23545" name="직선 화살표 연결선 23544">
          <a:extLst>
            <a:ext uri="{FF2B5EF4-FFF2-40B4-BE49-F238E27FC236}">
              <a16:creationId xmlns:a16="http://schemas.microsoft.com/office/drawing/2014/main" id="{2F94F0D3-AA12-48EE-AF69-A82BB6847C07}"/>
            </a:ext>
          </a:extLst>
        </xdr:cNvPr>
        <xdr:cNvCxnSpPr/>
      </xdr:nvCxnSpPr>
      <xdr:spPr>
        <a:xfrm>
          <a:off x="1387928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20411</xdr:colOff>
      <xdr:row>16</xdr:row>
      <xdr:rowOff>19050</xdr:rowOff>
    </xdr:from>
    <xdr:to>
      <xdr:col>56</xdr:col>
      <xdr:colOff>21681</xdr:colOff>
      <xdr:row>16</xdr:row>
      <xdr:rowOff>133350</xdr:rowOff>
    </xdr:to>
    <xdr:sp macro="" textlink="">
      <xdr:nvSpPr>
        <xdr:cNvPr id="23546" name="13">
          <a:extLst>
            <a:ext uri="{FF2B5EF4-FFF2-40B4-BE49-F238E27FC236}">
              <a16:creationId xmlns:a16="http://schemas.microsoft.com/office/drawing/2014/main" id="{D0889896-0DD6-4EA4-B56F-468C0BEC9AF9}"/>
            </a:ext>
          </a:extLst>
        </xdr:cNvPr>
        <xdr:cNvSpPr/>
      </xdr:nvSpPr>
      <xdr:spPr>
        <a:xfrm>
          <a:off x="13593536" y="26003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20411</xdr:colOff>
      <xdr:row>16</xdr:row>
      <xdr:rowOff>76200</xdr:rowOff>
    </xdr:from>
    <xdr:to>
      <xdr:col>54</xdr:col>
      <xdr:colOff>20411</xdr:colOff>
      <xdr:row>16</xdr:row>
      <xdr:rowOff>76200</xdr:rowOff>
    </xdr:to>
    <xdr:cxnSp macro="">
      <xdr:nvCxnSpPr>
        <xdr:cNvPr id="23547" name="직선 화살표 연결선 23546">
          <a:extLst>
            <a:ext uri="{FF2B5EF4-FFF2-40B4-BE49-F238E27FC236}">
              <a16:creationId xmlns:a16="http://schemas.microsoft.com/office/drawing/2014/main" id="{B729B7EA-21F2-4C36-A2D8-AAE9AFF24E37}"/>
            </a:ext>
          </a:extLst>
        </xdr:cNvPr>
        <xdr:cNvCxnSpPr/>
      </xdr:nvCxnSpPr>
      <xdr:spPr>
        <a:xfrm>
          <a:off x="13593536"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15</xdr:row>
      <xdr:rowOff>19050</xdr:rowOff>
    </xdr:from>
    <xdr:to>
      <xdr:col>54</xdr:col>
      <xdr:colOff>21681</xdr:colOff>
      <xdr:row>15</xdr:row>
      <xdr:rowOff>133350</xdr:rowOff>
    </xdr:to>
    <xdr:sp macro="" textlink="">
      <xdr:nvSpPr>
        <xdr:cNvPr id="23548" name="12">
          <a:extLst>
            <a:ext uri="{FF2B5EF4-FFF2-40B4-BE49-F238E27FC236}">
              <a16:creationId xmlns:a16="http://schemas.microsoft.com/office/drawing/2014/main" id="{BFAD0BB2-6C09-4412-BB22-232AF5B4DAD6}"/>
            </a:ext>
          </a:extLst>
        </xdr:cNvPr>
        <xdr:cNvSpPr/>
      </xdr:nvSpPr>
      <xdr:spPr>
        <a:xfrm>
          <a:off x="13287375" y="24479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15</xdr:row>
      <xdr:rowOff>76200</xdr:rowOff>
    </xdr:from>
    <xdr:to>
      <xdr:col>52</xdr:col>
      <xdr:colOff>0</xdr:colOff>
      <xdr:row>15</xdr:row>
      <xdr:rowOff>76200</xdr:rowOff>
    </xdr:to>
    <xdr:cxnSp macro="">
      <xdr:nvCxnSpPr>
        <xdr:cNvPr id="23549" name="직선 화살표 연결선 23548">
          <a:extLst>
            <a:ext uri="{FF2B5EF4-FFF2-40B4-BE49-F238E27FC236}">
              <a16:creationId xmlns:a16="http://schemas.microsoft.com/office/drawing/2014/main" id="{91E60F6A-F6F0-4ECE-90B3-14A6C75036BF}"/>
            </a:ext>
          </a:extLst>
        </xdr:cNvPr>
        <xdr:cNvCxnSpPr/>
      </xdr:nvCxnSpPr>
      <xdr:spPr>
        <a:xfrm>
          <a:off x="1328737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14</xdr:row>
      <xdr:rowOff>19050</xdr:rowOff>
    </xdr:from>
    <xdr:to>
      <xdr:col>56</xdr:col>
      <xdr:colOff>21681</xdr:colOff>
      <xdr:row>14</xdr:row>
      <xdr:rowOff>133350</xdr:rowOff>
    </xdr:to>
    <xdr:sp macro="" textlink="">
      <xdr:nvSpPr>
        <xdr:cNvPr id="23550" name="11">
          <a:extLst>
            <a:ext uri="{FF2B5EF4-FFF2-40B4-BE49-F238E27FC236}">
              <a16:creationId xmlns:a16="http://schemas.microsoft.com/office/drawing/2014/main" id="{1848257F-955D-43C9-8C4A-DD15240F80CB}"/>
            </a:ext>
          </a:extLst>
        </xdr:cNvPr>
        <xdr:cNvSpPr/>
      </xdr:nvSpPr>
      <xdr:spPr>
        <a:xfrm>
          <a:off x="13287375" y="22955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14</xdr:row>
      <xdr:rowOff>76200</xdr:rowOff>
    </xdr:from>
    <xdr:to>
      <xdr:col>52</xdr:col>
      <xdr:colOff>0</xdr:colOff>
      <xdr:row>14</xdr:row>
      <xdr:rowOff>76200</xdr:rowOff>
    </xdr:to>
    <xdr:cxnSp macro="">
      <xdr:nvCxnSpPr>
        <xdr:cNvPr id="23551" name="직선 화살표 연결선 23550">
          <a:extLst>
            <a:ext uri="{FF2B5EF4-FFF2-40B4-BE49-F238E27FC236}">
              <a16:creationId xmlns:a16="http://schemas.microsoft.com/office/drawing/2014/main" id="{E2271F29-E600-4F84-8D9B-5490562AF52C}"/>
            </a:ext>
          </a:extLst>
        </xdr:cNvPr>
        <xdr:cNvCxnSpPr/>
      </xdr:nvCxnSpPr>
      <xdr:spPr>
        <a:xfrm>
          <a:off x="1328737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20411</xdr:colOff>
      <xdr:row>13</xdr:row>
      <xdr:rowOff>19050</xdr:rowOff>
    </xdr:from>
    <xdr:to>
      <xdr:col>52</xdr:col>
      <xdr:colOff>1270</xdr:colOff>
      <xdr:row>13</xdr:row>
      <xdr:rowOff>133350</xdr:rowOff>
    </xdr:to>
    <xdr:sp macro="" textlink="">
      <xdr:nvSpPr>
        <xdr:cNvPr id="23552" name="10">
          <a:extLst>
            <a:ext uri="{FF2B5EF4-FFF2-40B4-BE49-F238E27FC236}">
              <a16:creationId xmlns:a16="http://schemas.microsoft.com/office/drawing/2014/main" id="{FB850C19-2203-44E2-8F94-EA6D20B6663F}"/>
            </a:ext>
          </a:extLst>
        </xdr:cNvPr>
        <xdr:cNvSpPr/>
      </xdr:nvSpPr>
      <xdr:spPr>
        <a:xfrm>
          <a:off x="13022036" y="2143125"/>
          <a:ext cx="2666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20411</xdr:colOff>
      <xdr:row>13</xdr:row>
      <xdr:rowOff>76200</xdr:rowOff>
    </xdr:from>
    <xdr:to>
      <xdr:col>50</xdr:col>
      <xdr:colOff>20411</xdr:colOff>
      <xdr:row>13</xdr:row>
      <xdr:rowOff>76200</xdr:rowOff>
    </xdr:to>
    <xdr:cxnSp macro="">
      <xdr:nvCxnSpPr>
        <xdr:cNvPr id="23553" name="직선 화살표 연결선 23552">
          <a:extLst>
            <a:ext uri="{FF2B5EF4-FFF2-40B4-BE49-F238E27FC236}">
              <a16:creationId xmlns:a16="http://schemas.microsoft.com/office/drawing/2014/main" id="{7AE84602-9AE1-4AFB-A7FB-7331F1087181}"/>
            </a:ext>
          </a:extLst>
        </xdr:cNvPr>
        <xdr:cNvCxnSpPr/>
      </xdr:nvCxnSpPr>
      <xdr:spPr>
        <a:xfrm>
          <a:off x="13022036"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12</xdr:row>
      <xdr:rowOff>19050</xdr:rowOff>
    </xdr:from>
    <xdr:to>
      <xdr:col>50</xdr:col>
      <xdr:colOff>21681</xdr:colOff>
      <xdr:row>12</xdr:row>
      <xdr:rowOff>133350</xdr:rowOff>
    </xdr:to>
    <xdr:sp macro="" textlink="">
      <xdr:nvSpPr>
        <xdr:cNvPr id="23554" name="9">
          <a:extLst>
            <a:ext uri="{FF2B5EF4-FFF2-40B4-BE49-F238E27FC236}">
              <a16:creationId xmlns:a16="http://schemas.microsoft.com/office/drawing/2014/main" id="{7263CD33-1F96-427F-A593-3D88A1D669C9}"/>
            </a:ext>
          </a:extLst>
        </xdr:cNvPr>
        <xdr:cNvSpPr/>
      </xdr:nvSpPr>
      <xdr:spPr>
        <a:xfrm>
          <a:off x="12470947" y="1990725"/>
          <a:ext cx="552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12</xdr:row>
      <xdr:rowOff>76200</xdr:rowOff>
    </xdr:from>
    <xdr:to>
      <xdr:col>46</xdr:col>
      <xdr:colOff>40822</xdr:colOff>
      <xdr:row>12</xdr:row>
      <xdr:rowOff>76200</xdr:rowOff>
    </xdr:to>
    <xdr:cxnSp macro="">
      <xdr:nvCxnSpPr>
        <xdr:cNvPr id="23555" name="직선 화살표 연결선 23554">
          <a:extLst>
            <a:ext uri="{FF2B5EF4-FFF2-40B4-BE49-F238E27FC236}">
              <a16:creationId xmlns:a16="http://schemas.microsoft.com/office/drawing/2014/main" id="{5C1F9764-A250-4003-A197-C2D071B703A8}"/>
            </a:ext>
          </a:extLst>
        </xdr:cNvPr>
        <xdr:cNvCxnSpPr/>
      </xdr:nvCxnSpPr>
      <xdr:spPr>
        <a:xfrm>
          <a:off x="12470947"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11</xdr:row>
      <xdr:rowOff>19050</xdr:rowOff>
    </xdr:from>
    <xdr:to>
      <xdr:col>52</xdr:col>
      <xdr:colOff>1270</xdr:colOff>
      <xdr:row>11</xdr:row>
      <xdr:rowOff>133350</xdr:rowOff>
    </xdr:to>
    <xdr:sp macro="" textlink="">
      <xdr:nvSpPr>
        <xdr:cNvPr id="23556" name="8">
          <a:extLst>
            <a:ext uri="{FF2B5EF4-FFF2-40B4-BE49-F238E27FC236}">
              <a16:creationId xmlns:a16="http://schemas.microsoft.com/office/drawing/2014/main" id="{070F1EBA-2E6C-4A30-936B-7D2D86EF0EB6}"/>
            </a:ext>
          </a:extLst>
        </xdr:cNvPr>
        <xdr:cNvSpPr/>
      </xdr:nvSpPr>
      <xdr:spPr>
        <a:xfrm>
          <a:off x="12470947" y="1838325"/>
          <a:ext cx="817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11</xdr:row>
      <xdr:rowOff>76200</xdr:rowOff>
    </xdr:from>
    <xdr:to>
      <xdr:col>46</xdr:col>
      <xdr:colOff>40822</xdr:colOff>
      <xdr:row>11</xdr:row>
      <xdr:rowOff>76200</xdr:rowOff>
    </xdr:to>
    <xdr:cxnSp macro="">
      <xdr:nvCxnSpPr>
        <xdr:cNvPr id="23557" name="직선 화살표 연결선 23556">
          <a:extLst>
            <a:ext uri="{FF2B5EF4-FFF2-40B4-BE49-F238E27FC236}">
              <a16:creationId xmlns:a16="http://schemas.microsoft.com/office/drawing/2014/main" id="{4387E1EE-5324-4FC5-87AB-B4043801EAC3}"/>
            </a:ext>
          </a:extLst>
        </xdr:cNvPr>
        <xdr:cNvCxnSpPr/>
      </xdr:nvCxnSpPr>
      <xdr:spPr>
        <a:xfrm>
          <a:off x="12470947"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20410</xdr:colOff>
      <xdr:row>10</xdr:row>
      <xdr:rowOff>19050</xdr:rowOff>
    </xdr:from>
    <xdr:to>
      <xdr:col>46</xdr:col>
      <xdr:colOff>42091</xdr:colOff>
      <xdr:row>10</xdr:row>
      <xdr:rowOff>133350</xdr:rowOff>
    </xdr:to>
    <xdr:sp macro="" textlink="">
      <xdr:nvSpPr>
        <xdr:cNvPr id="23558" name="7">
          <a:extLst>
            <a:ext uri="{FF2B5EF4-FFF2-40B4-BE49-F238E27FC236}">
              <a16:creationId xmlns:a16="http://schemas.microsoft.com/office/drawing/2014/main" id="{168EEB31-5932-4510-8B65-96648B3BC19D}"/>
            </a:ext>
          </a:extLst>
        </xdr:cNvPr>
        <xdr:cNvSpPr/>
      </xdr:nvSpPr>
      <xdr:spPr>
        <a:xfrm>
          <a:off x="12164785" y="16859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20410</xdr:colOff>
      <xdr:row>10</xdr:row>
      <xdr:rowOff>76200</xdr:rowOff>
    </xdr:from>
    <xdr:to>
      <xdr:col>44</xdr:col>
      <xdr:colOff>20410</xdr:colOff>
      <xdr:row>10</xdr:row>
      <xdr:rowOff>76200</xdr:rowOff>
    </xdr:to>
    <xdr:cxnSp macro="">
      <xdr:nvCxnSpPr>
        <xdr:cNvPr id="23559" name="직선 화살표 연결선 23558">
          <a:extLst>
            <a:ext uri="{FF2B5EF4-FFF2-40B4-BE49-F238E27FC236}">
              <a16:creationId xmlns:a16="http://schemas.microsoft.com/office/drawing/2014/main" id="{BB4C7796-1F54-4373-BA51-65D9C602A3A8}"/>
            </a:ext>
          </a:extLst>
        </xdr:cNvPr>
        <xdr:cNvCxnSpPr/>
      </xdr:nvCxnSpPr>
      <xdr:spPr>
        <a:xfrm>
          <a:off x="12164785"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9</xdr:row>
      <xdr:rowOff>19050</xdr:rowOff>
    </xdr:from>
    <xdr:to>
      <xdr:col>44</xdr:col>
      <xdr:colOff>21680</xdr:colOff>
      <xdr:row>9</xdr:row>
      <xdr:rowOff>133350</xdr:rowOff>
    </xdr:to>
    <xdr:sp macro="" textlink="">
      <xdr:nvSpPr>
        <xdr:cNvPr id="23560" name="6">
          <a:extLst>
            <a:ext uri="{FF2B5EF4-FFF2-40B4-BE49-F238E27FC236}">
              <a16:creationId xmlns:a16="http://schemas.microsoft.com/office/drawing/2014/main" id="{350A6288-078D-4DBA-8C61-592D84D709AE}"/>
            </a:ext>
          </a:extLst>
        </xdr:cNvPr>
        <xdr:cNvSpPr/>
      </xdr:nvSpPr>
      <xdr:spPr>
        <a:xfrm>
          <a:off x="11164660" y="1533525"/>
          <a:ext cx="10013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9</xdr:row>
      <xdr:rowOff>76200</xdr:rowOff>
    </xdr:from>
    <xdr:to>
      <xdr:col>37</xdr:col>
      <xdr:colOff>20410</xdr:colOff>
      <xdr:row>9</xdr:row>
      <xdr:rowOff>76200</xdr:rowOff>
    </xdr:to>
    <xdr:cxnSp macro="">
      <xdr:nvCxnSpPr>
        <xdr:cNvPr id="23561" name="직선 화살표 연결선 23560">
          <a:extLst>
            <a:ext uri="{FF2B5EF4-FFF2-40B4-BE49-F238E27FC236}">
              <a16:creationId xmlns:a16="http://schemas.microsoft.com/office/drawing/2014/main" id="{05999492-F99D-4EFD-A7F1-07F4C9518306}"/>
            </a:ext>
          </a:extLst>
        </xdr:cNvPr>
        <xdr:cNvCxnSpPr/>
      </xdr:nvCxnSpPr>
      <xdr:spPr>
        <a:xfrm>
          <a:off x="11164660"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8</xdr:row>
      <xdr:rowOff>19050</xdr:rowOff>
    </xdr:from>
    <xdr:to>
      <xdr:col>46</xdr:col>
      <xdr:colOff>42091</xdr:colOff>
      <xdr:row>8</xdr:row>
      <xdr:rowOff>133350</xdr:rowOff>
    </xdr:to>
    <xdr:sp macro="" textlink="">
      <xdr:nvSpPr>
        <xdr:cNvPr id="23562" name="5">
          <a:extLst>
            <a:ext uri="{FF2B5EF4-FFF2-40B4-BE49-F238E27FC236}">
              <a16:creationId xmlns:a16="http://schemas.microsoft.com/office/drawing/2014/main" id="{F10434A8-B2D1-488B-8284-2AD6BAF39A14}"/>
            </a:ext>
          </a:extLst>
        </xdr:cNvPr>
        <xdr:cNvSpPr/>
      </xdr:nvSpPr>
      <xdr:spPr>
        <a:xfrm>
          <a:off x="11164660" y="1381125"/>
          <a:ext cx="1307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8</xdr:row>
      <xdr:rowOff>76200</xdr:rowOff>
    </xdr:from>
    <xdr:to>
      <xdr:col>37</xdr:col>
      <xdr:colOff>20410</xdr:colOff>
      <xdr:row>8</xdr:row>
      <xdr:rowOff>76200</xdr:rowOff>
    </xdr:to>
    <xdr:cxnSp macro="">
      <xdr:nvCxnSpPr>
        <xdr:cNvPr id="23563" name="직선 화살표 연결선 23562">
          <a:extLst>
            <a:ext uri="{FF2B5EF4-FFF2-40B4-BE49-F238E27FC236}">
              <a16:creationId xmlns:a16="http://schemas.microsoft.com/office/drawing/2014/main" id="{7C343AF1-895C-448E-B6D4-99A419C1EB86}"/>
            </a:ext>
          </a:extLst>
        </xdr:cNvPr>
        <xdr:cNvCxnSpPr/>
      </xdr:nvCxnSpPr>
      <xdr:spPr>
        <a:xfrm>
          <a:off x="1116466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xdr:row>
      <xdr:rowOff>19050</xdr:rowOff>
    </xdr:from>
    <xdr:to>
      <xdr:col>37</xdr:col>
      <xdr:colOff>21680</xdr:colOff>
      <xdr:row>7</xdr:row>
      <xdr:rowOff>133350</xdr:rowOff>
    </xdr:to>
    <xdr:sp macro="" textlink="">
      <xdr:nvSpPr>
        <xdr:cNvPr id="23564" name="4">
          <a:extLst>
            <a:ext uri="{FF2B5EF4-FFF2-40B4-BE49-F238E27FC236}">
              <a16:creationId xmlns:a16="http://schemas.microsoft.com/office/drawing/2014/main" id="{509C4E4D-D53E-42A1-AC92-1A5751246C6E}"/>
            </a:ext>
          </a:extLst>
        </xdr:cNvPr>
        <xdr:cNvSpPr/>
      </xdr:nvSpPr>
      <xdr:spPr>
        <a:xfrm>
          <a:off x="10858500" y="1228725"/>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7</xdr:row>
      <xdr:rowOff>76200</xdr:rowOff>
    </xdr:from>
    <xdr:to>
      <xdr:col>35</xdr:col>
      <xdr:colOff>0</xdr:colOff>
      <xdr:row>7</xdr:row>
      <xdr:rowOff>76200</xdr:rowOff>
    </xdr:to>
    <xdr:cxnSp macro="">
      <xdr:nvCxnSpPr>
        <xdr:cNvPr id="23565" name="직선 화살표 연결선 23564">
          <a:extLst>
            <a:ext uri="{FF2B5EF4-FFF2-40B4-BE49-F238E27FC236}">
              <a16:creationId xmlns:a16="http://schemas.microsoft.com/office/drawing/2014/main" id="{D448D320-9D06-4E26-AF87-046C59DC1759}"/>
            </a:ext>
          </a:extLst>
        </xdr:cNvPr>
        <xdr:cNvCxnSpPr/>
      </xdr:nvCxnSpPr>
      <xdr:spPr>
        <a:xfrm>
          <a:off x="10858500"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6</xdr:row>
      <xdr:rowOff>19050</xdr:rowOff>
    </xdr:from>
    <xdr:to>
      <xdr:col>35</xdr:col>
      <xdr:colOff>1270</xdr:colOff>
      <xdr:row>6</xdr:row>
      <xdr:rowOff>133350</xdr:rowOff>
    </xdr:to>
    <xdr:sp macro="" textlink="">
      <xdr:nvSpPr>
        <xdr:cNvPr id="23566" name="3">
          <a:extLst>
            <a:ext uri="{FF2B5EF4-FFF2-40B4-BE49-F238E27FC236}">
              <a16:creationId xmlns:a16="http://schemas.microsoft.com/office/drawing/2014/main" id="{F5E306E3-973E-4440-8F6F-968779F99281}"/>
            </a:ext>
          </a:extLst>
        </xdr:cNvPr>
        <xdr:cNvSpPr/>
      </xdr:nvSpPr>
      <xdr:spPr>
        <a:xfrm>
          <a:off x="10307410" y="1076325"/>
          <a:ext cx="55236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6</xdr:row>
      <xdr:rowOff>76200</xdr:rowOff>
    </xdr:from>
    <xdr:to>
      <xdr:col>31</xdr:col>
      <xdr:colOff>20410</xdr:colOff>
      <xdr:row>6</xdr:row>
      <xdr:rowOff>76200</xdr:rowOff>
    </xdr:to>
    <xdr:cxnSp macro="">
      <xdr:nvCxnSpPr>
        <xdr:cNvPr id="23567" name="직선 화살표 연결선 23566">
          <a:extLst>
            <a:ext uri="{FF2B5EF4-FFF2-40B4-BE49-F238E27FC236}">
              <a16:creationId xmlns:a16="http://schemas.microsoft.com/office/drawing/2014/main" id="{930DED50-294C-4FD9-953C-E059CEB3893A}"/>
            </a:ext>
          </a:extLst>
        </xdr:cNvPr>
        <xdr:cNvCxnSpPr/>
      </xdr:nvCxnSpPr>
      <xdr:spPr>
        <a:xfrm>
          <a:off x="10307410"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xdr:row>
      <xdr:rowOff>19050</xdr:rowOff>
    </xdr:from>
    <xdr:to>
      <xdr:col>59</xdr:col>
      <xdr:colOff>62502</xdr:colOff>
      <xdr:row>5</xdr:row>
      <xdr:rowOff>133350</xdr:rowOff>
    </xdr:to>
    <xdr:sp macro="" textlink="">
      <xdr:nvSpPr>
        <xdr:cNvPr id="23568" name="2">
          <a:extLst>
            <a:ext uri="{FF2B5EF4-FFF2-40B4-BE49-F238E27FC236}">
              <a16:creationId xmlns:a16="http://schemas.microsoft.com/office/drawing/2014/main" id="{C9C15E2B-B75D-4A1A-9C29-7B7F3FC2F7A2}"/>
            </a:ext>
          </a:extLst>
        </xdr:cNvPr>
        <xdr:cNvSpPr/>
      </xdr:nvSpPr>
      <xdr:spPr>
        <a:xfrm>
          <a:off x="10307410" y="923925"/>
          <a:ext cx="4042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xdr:row>
      <xdr:rowOff>76200</xdr:rowOff>
    </xdr:from>
    <xdr:to>
      <xdr:col>31</xdr:col>
      <xdr:colOff>20410</xdr:colOff>
      <xdr:row>5</xdr:row>
      <xdr:rowOff>76200</xdr:rowOff>
    </xdr:to>
    <xdr:cxnSp macro="">
      <xdr:nvCxnSpPr>
        <xdr:cNvPr id="23569" name="직선 화살표 연결선 23568">
          <a:extLst>
            <a:ext uri="{FF2B5EF4-FFF2-40B4-BE49-F238E27FC236}">
              <a16:creationId xmlns:a16="http://schemas.microsoft.com/office/drawing/2014/main" id="{454059A4-F7AB-4BA1-B007-A83B1F3A0533}"/>
            </a:ext>
          </a:extLst>
        </xdr:cNvPr>
        <xdr:cNvCxnSpPr/>
      </xdr:nvCxnSpPr>
      <xdr:spPr>
        <a:xfrm>
          <a:off x="10307410"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59</xdr:col>
      <xdr:colOff>62502</xdr:colOff>
      <xdr:row>4</xdr:row>
      <xdr:rowOff>133350</xdr:rowOff>
    </xdr:to>
    <xdr:sp macro="" textlink="">
      <xdr:nvSpPr>
        <xdr:cNvPr id="23570" name="1">
          <a:extLst>
            <a:ext uri="{FF2B5EF4-FFF2-40B4-BE49-F238E27FC236}">
              <a16:creationId xmlns:a16="http://schemas.microsoft.com/office/drawing/2014/main" id="{B20BC2C9-2EB8-4786-9993-78AA9DC917F2}"/>
            </a:ext>
          </a:extLst>
        </xdr:cNvPr>
        <xdr:cNvSpPr/>
      </xdr:nvSpPr>
      <xdr:spPr>
        <a:xfrm>
          <a:off x="10307410" y="771525"/>
          <a:ext cx="4042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31</xdr:col>
      <xdr:colOff>20410</xdr:colOff>
      <xdr:row>4</xdr:row>
      <xdr:rowOff>76200</xdr:rowOff>
    </xdr:to>
    <xdr:cxnSp macro="">
      <xdr:nvCxnSpPr>
        <xdr:cNvPr id="23571" name="직선 화살표 연결선 23570">
          <a:extLst>
            <a:ext uri="{FF2B5EF4-FFF2-40B4-BE49-F238E27FC236}">
              <a16:creationId xmlns:a16="http://schemas.microsoft.com/office/drawing/2014/main" id="{F3B09CE1-C41C-4B1A-AAE5-7A11AD8962AB}"/>
            </a:ext>
          </a:extLst>
        </xdr:cNvPr>
        <xdr:cNvCxnSpPr/>
      </xdr:nvCxnSpPr>
      <xdr:spPr>
        <a:xfrm>
          <a:off x="10307410"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1412</v>
      </c>
      <c r="C6" s="72"/>
      <c r="D6" s="72"/>
      <c r="E6" s="72" t="s">
        <v>11</v>
      </c>
      <c r="F6" s="72"/>
    </row>
    <row r="7" spans="1:64">
      <c r="A7" s="71" t="s">
        <v>16</v>
      </c>
      <c r="B7" s="71" t="s">
        <v>10</v>
      </c>
      <c r="C7" s="72"/>
      <c r="D7" s="72"/>
      <c r="E7" s="72" t="s">
        <v>11</v>
      </c>
      <c r="F7" s="72"/>
    </row>
    <row r="8" spans="1:64">
      <c r="A8" s="71" t="s">
        <v>17</v>
      </c>
      <c r="B8" s="74" t="s">
        <v>1497</v>
      </c>
      <c r="C8" s="72" t="s">
        <v>1321</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1290</v>
      </c>
      <c r="D11" s="70" t="s">
        <v>23</v>
      </c>
      <c r="E11" s="79">
        <v>1</v>
      </c>
      <c r="F11" s="80" t="s">
        <v>24</v>
      </c>
      <c r="G11" s="81">
        <v>44242</v>
      </c>
      <c r="H11" s="80" t="s">
        <v>25</v>
      </c>
      <c r="I11" s="81">
        <v>44439</v>
      </c>
      <c r="J11" s="73" t="s">
        <v>403</v>
      </c>
      <c r="K11" s="73" t="s">
        <v>1322</v>
      </c>
      <c r="L11" s="73" t="s">
        <v>400</v>
      </c>
      <c r="M11" s="73">
        <v>1</v>
      </c>
      <c r="N11" s="78" t="s">
        <v>26</v>
      </c>
      <c r="O11" s="70">
        <v>0</v>
      </c>
      <c r="P11" s="70" t="s">
        <v>27</v>
      </c>
      <c r="Q11" s="78" t="s">
        <v>1534</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1530</v>
      </c>
    </row>
    <row r="13" spans="1:64">
      <c r="A13" s="72" t="s">
        <v>387</v>
      </c>
      <c r="B13" s="78" t="s">
        <v>28</v>
      </c>
      <c r="C13" s="70">
        <v>1</v>
      </c>
      <c r="D13" s="78" t="s">
        <v>29</v>
      </c>
      <c r="E13" s="70" t="s">
        <v>1320</v>
      </c>
      <c r="F13" s="70" t="s">
        <v>30</v>
      </c>
      <c r="G13" s="80" t="s">
        <v>529</v>
      </c>
      <c r="H13" s="80" t="s">
        <v>31</v>
      </c>
      <c r="I13" s="73" t="s">
        <v>529</v>
      </c>
    </row>
    <row r="14" spans="1:64">
      <c r="A14" s="72" t="s">
        <v>388</v>
      </c>
      <c r="B14" s="79" t="s">
        <v>32</v>
      </c>
      <c r="C14" s="79" t="s">
        <v>1560</v>
      </c>
      <c r="D14" s="79" t="s">
        <v>33</v>
      </c>
      <c r="E14" s="79" t="s">
        <v>542</v>
      </c>
      <c r="F14" s="79" t="s">
        <v>34</v>
      </c>
      <c r="G14" s="79" t="s">
        <v>1561</v>
      </c>
      <c r="H14" s="79" t="s">
        <v>35</v>
      </c>
      <c r="I14" s="79" t="b">
        <v>0</v>
      </c>
      <c r="J14" s="79" t="s">
        <v>36</v>
      </c>
      <c r="K14" s="79" t="s">
        <v>1562</v>
      </c>
      <c r="L14" s="79" t="s">
        <v>37</v>
      </c>
      <c r="M14" s="79" t="s">
        <v>553</v>
      </c>
      <c r="N14" s="79" t="s">
        <v>38</v>
      </c>
      <c r="O14" s="79" t="s">
        <v>1561</v>
      </c>
      <c r="P14" s="79" t="s">
        <v>39</v>
      </c>
      <c r="Q14" s="79" t="b">
        <v>0</v>
      </c>
      <c r="R14" s="79" t="s">
        <v>40</v>
      </c>
      <c r="S14" s="79" t="s">
        <v>1563</v>
      </c>
      <c r="T14" s="79" t="s">
        <v>41</v>
      </c>
      <c r="U14" s="79" t="s">
        <v>554</v>
      </c>
      <c r="V14" s="79" t="s">
        <v>42</v>
      </c>
      <c r="W14" s="79" t="s">
        <v>1561</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1411</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topLeftCell="A25" zoomScale="90" zoomScaleNormal="90" workbookViewId="0">
      <selection activeCell="B9" sqref="B9"/>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4" t="s">
        <v>1426</v>
      </c>
      <c r="B1" s="235"/>
      <c r="C1" s="235"/>
      <c r="D1" s="235"/>
      <c r="E1" s="235"/>
      <c r="F1" s="235"/>
      <c r="G1" s="235"/>
      <c r="H1" s="229"/>
      <c r="I1" s="229"/>
      <c r="J1" s="241" t="s">
        <v>1555</v>
      </c>
      <c r="K1" s="242"/>
      <c r="L1" s="242"/>
      <c r="M1" s="230"/>
    </row>
    <row r="2" spans="1:13" s="104" customFormat="1" ht="33.75" customHeight="1">
      <c r="A2" s="236"/>
      <c r="B2" s="237"/>
      <c r="C2" s="237"/>
      <c r="D2" s="237"/>
      <c r="E2" s="237"/>
      <c r="F2" s="237"/>
      <c r="G2" s="237"/>
      <c r="H2" s="245" t="s">
        <v>1556</v>
      </c>
      <c r="I2" s="246"/>
      <c r="J2" s="246"/>
      <c r="K2" s="246"/>
      <c r="L2" s="246"/>
      <c r="M2" s="231"/>
    </row>
    <row r="4" spans="1:13" ht="17.25" customHeight="1">
      <c r="B4" s="243" t="s">
        <v>1427</v>
      </c>
      <c r="C4" s="243"/>
      <c r="D4" s="243"/>
      <c r="E4" s="243"/>
      <c r="F4" s="243"/>
      <c r="G4" s="243"/>
      <c r="H4" s="243"/>
      <c r="I4" s="243"/>
      <c r="J4" s="243"/>
      <c r="K4" s="243"/>
      <c r="L4" s="243"/>
    </row>
    <row r="5" spans="1:13" ht="27.75" customHeight="1">
      <c r="B5" s="243"/>
      <c r="C5" s="243"/>
      <c r="D5" s="243"/>
      <c r="E5" s="243"/>
      <c r="F5" s="243"/>
      <c r="G5" s="243"/>
      <c r="H5" s="243"/>
      <c r="I5" s="243"/>
      <c r="J5" s="243"/>
      <c r="K5" s="243"/>
      <c r="L5" s="243"/>
    </row>
    <row r="6" spans="1:13" s="104" customFormat="1" ht="12.75">
      <c r="B6" s="105"/>
    </row>
    <row r="7" spans="1:13" s="104" customFormat="1" ht="18.75">
      <c r="B7" s="106" t="s">
        <v>1428</v>
      </c>
      <c r="D7" s="107"/>
    </row>
    <row r="8" spans="1:13" s="104" customFormat="1" ht="7.5" customHeight="1">
      <c r="B8" s="105"/>
    </row>
    <row r="9" spans="1:13" s="104" customFormat="1" ht="34.5" customHeight="1" thickBot="1">
      <c r="A9" s="108"/>
      <c r="B9" s="109" t="s">
        <v>535</v>
      </c>
      <c r="C9" s="108"/>
      <c r="D9" s="239" t="s">
        <v>1149</v>
      </c>
      <c r="E9" s="239"/>
      <c r="F9" s="239"/>
      <c r="G9" s="239"/>
      <c r="H9" s="239"/>
      <c r="I9" s="239"/>
      <c r="J9" s="239"/>
      <c r="K9" s="239"/>
      <c r="L9" s="239"/>
    </row>
    <row r="10" spans="1:13" s="104" customFormat="1" ht="27.75" customHeight="1" thickTop="1" thickBot="1">
      <c r="A10" s="108"/>
      <c r="B10" s="110" t="s">
        <v>536</v>
      </c>
      <c r="C10" s="108"/>
      <c r="D10" s="239" t="s">
        <v>1429</v>
      </c>
      <c r="E10" s="239"/>
      <c r="F10" s="239"/>
      <c r="G10" s="239"/>
      <c r="H10" s="239"/>
      <c r="I10" s="239"/>
      <c r="J10" s="239"/>
      <c r="K10" s="239"/>
      <c r="L10" s="239"/>
    </row>
    <row r="11" spans="1:13" s="104" customFormat="1" ht="27.75" customHeight="1" thickTop="1" thickBot="1">
      <c r="A11" s="108"/>
      <c r="B11" s="111" t="s">
        <v>537</v>
      </c>
      <c r="C11" s="108"/>
      <c r="D11" s="239" t="s">
        <v>1430</v>
      </c>
      <c r="E11" s="239"/>
      <c r="F11" s="239"/>
      <c r="G11" s="239"/>
      <c r="H11" s="239"/>
      <c r="I11" s="239"/>
      <c r="J11" s="239"/>
      <c r="K11" s="239"/>
      <c r="L11" s="239"/>
    </row>
    <row r="12" spans="1:13" s="104" customFormat="1" ht="27.75" customHeight="1" thickTop="1" thickBot="1">
      <c r="A12" s="108"/>
      <c r="B12" s="112" t="s">
        <v>538</v>
      </c>
      <c r="C12" s="108"/>
      <c r="D12" s="239" t="s">
        <v>1431</v>
      </c>
      <c r="E12" s="239"/>
      <c r="F12" s="239"/>
      <c r="G12" s="239"/>
      <c r="H12" s="239"/>
      <c r="I12" s="239"/>
      <c r="J12" s="239"/>
      <c r="K12" s="239"/>
      <c r="L12" s="239"/>
    </row>
    <row r="13" spans="1:13" s="104" customFormat="1" ht="27.75" customHeight="1" thickTop="1" thickBot="1">
      <c r="A13" s="108"/>
      <c r="B13" s="113" t="s">
        <v>1093</v>
      </c>
      <c r="C13" s="108"/>
      <c r="D13" s="239" t="s">
        <v>1190</v>
      </c>
      <c r="E13" s="239"/>
      <c r="F13" s="239"/>
      <c r="G13" s="239"/>
      <c r="H13" s="239"/>
      <c r="I13" s="239"/>
      <c r="J13" s="239"/>
      <c r="K13" s="239"/>
      <c r="L13" s="239"/>
    </row>
    <row r="14" spans="1:13" s="104" customFormat="1" ht="27.75" customHeight="1" thickTop="1" thickBot="1">
      <c r="A14" s="108"/>
      <c r="B14" s="113" t="s">
        <v>1010</v>
      </c>
      <c r="C14" s="108"/>
      <c r="D14" s="244" t="s">
        <v>1432</v>
      </c>
      <c r="E14" s="244"/>
      <c r="F14" s="244"/>
      <c r="G14" s="244"/>
      <c r="H14" s="244"/>
      <c r="I14" s="244"/>
      <c r="J14" s="244"/>
      <c r="K14" s="244"/>
      <c r="L14" s="244"/>
    </row>
    <row r="15" spans="1:13" s="104" customFormat="1" ht="27.75" customHeight="1" thickTop="1" thickBot="1">
      <c r="A15" s="108"/>
      <c r="B15" s="114" t="s">
        <v>539</v>
      </c>
      <c r="C15" s="108"/>
      <c r="D15" s="239" t="s">
        <v>1433</v>
      </c>
      <c r="E15" s="239"/>
      <c r="F15" s="239"/>
      <c r="G15" s="239"/>
      <c r="H15" s="239"/>
      <c r="I15" s="239"/>
      <c r="J15" s="239"/>
      <c r="K15" s="239"/>
      <c r="L15" s="239"/>
    </row>
    <row r="16" spans="1:13" ht="16.5" thickTop="1">
      <c r="A16" s="115"/>
      <c r="B16" s="116"/>
      <c r="C16" s="115"/>
      <c r="D16" s="117"/>
      <c r="E16" s="117"/>
      <c r="F16" s="117"/>
      <c r="G16" s="117"/>
      <c r="H16" s="117"/>
      <c r="I16" s="117"/>
      <c r="J16" s="117"/>
      <c r="K16" s="117"/>
      <c r="L16" s="117"/>
    </row>
    <row r="17" spans="2:12" s="104" customFormat="1" ht="18.75">
      <c r="B17" s="106" t="s">
        <v>1434</v>
      </c>
      <c r="D17" s="107"/>
    </row>
    <row r="18" spans="2:12" s="104" customFormat="1" ht="5.25" customHeight="1">
      <c r="B18" s="118"/>
      <c r="D18" s="107"/>
    </row>
    <row r="19" spans="2:12" s="104" customFormat="1" ht="24.75" customHeight="1" thickBot="1">
      <c r="B19" s="119" t="s">
        <v>1435</v>
      </c>
      <c r="D19" s="238" t="s">
        <v>1445</v>
      </c>
      <c r="E19" s="238"/>
      <c r="F19" s="238"/>
      <c r="G19" s="238"/>
      <c r="H19" s="238"/>
      <c r="I19" s="238"/>
      <c r="J19" s="238"/>
      <c r="K19" s="238"/>
      <c r="L19" s="126" t="s">
        <v>1176</v>
      </c>
    </row>
    <row r="20" spans="2:12" s="104" customFormat="1" ht="41.25" customHeight="1" thickTop="1" thickBot="1">
      <c r="B20" s="119" t="s">
        <v>1436</v>
      </c>
      <c r="D20" s="238" t="s">
        <v>1446</v>
      </c>
      <c r="E20" s="238"/>
      <c r="F20" s="238"/>
      <c r="G20" s="238"/>
      <c r="H20" s="238"/>
      <c r="I20" s="238"/>
      <c r="J20" s="238"/>
      <c r="K20" s="238"/>
      <c r="L20" s="126" t="s">
        <v>1176</v>
      </c>
    </row>
    <row r="21" spans="2:12" s="104" customFormat="1" ht="37.5" customHeight="1" thickTop="1" thickBot="1">
      <c r="B21" s="119" t="s">
        <v>1437</v>
      </c>
      <c r="D21" s="238" t="s">
        <v>1447</v>
      </c>
      <c r="E21" s="238"/>
      <c r="F21" s="238"/>
      <c r="G21" s="238"/>
      <c r="H21" s="238"/>
      <c r="I21" s="238"/>
      <c r="J21" s="238"/>
      <c r="K21" s="238"/>
      <c r="L21" s="126" t="s">
        <v>1176</v>
      </c>
    </row>
    <row r="22" spans="2:12" s="104" customFormat="1" ht="41.25" customHeight="1" thickTop="1" thickBot="1">
      <c r="B22" s="119" t="s">
        <v>1438</v>
      </c>
      <c r="D22" s="238" t="s">
        <v>1448</v>
      </c>
      <c r="E22" s="238"/>
      <c r="F22" s="238"/>
      <c r="G22" s="238"/>
      <c r="H22" s="238"/>
      <c r="I22" s="238"/>
      <c r="J22" s="238"/>
      <c r="K22" s="238"/>
      <c r="L22" s="126" t="s">
        <v>1176</v>
      </c>
    </row>
    <row r="23" spans="2:12" s="104" customFormat="1" ht="36" customHeight="1" thickTop="1" thickBot="1">
      <c r="B23" s="119" t="s">
        <v>1439</v>
      </c>
      <c r="D23" s="238" t="s">
        <v>1206</v>
      </c>
      <c r="E23" s="238"/>
      <c r="F23" s="238"/>
      <c r="G23" s="238"/>
      <c r="H23" s="238"/>
      <c r="I23" s="238"/>
      <c r="J23" s="238"/>
      <c r="K23" s="238"/>
      <c r="L23" s="126" t="s">
        <v>1176</v>
      </c>
    </row>
    <row r="24" spans="2:12" s="104" customFormat="1" ht="52.5" customHeight="1" thickTop="1" thickBot="1">
      <c r="B24" s="119" t="s">
        <v>1440</v>
      </c>
      <c r="D24" s="238" t="s">
        <v>1449</v>
      </c>
      <c r="E24" s="238"/>
      <c r="F24" s="238"/>
      <c r="G24" s="238"/>
      <c r="H24" s="238"/>
      <c r="I24" s="238"/>
      <c r="J24" s="238"/>
      <c r="K24" s="238"/>
      <c r="L24" s="126" t="s">
        <v>1176</v>
      </c>
    </row>
    <row r="25" spans="2:12" s="104" customFormat="1" ht="57" customHeight="1" thickTop="1" thickBot="1">
      <c r="B25" s="119" t="s">
        <v>1516</v>
      </c>
      <c r="D25" s="238" t="s">
        <v>1450</v>
      </c>
      <c r="E25" s="238"/>
      <c r="F25" s="238"/>
      <c r="G25" s="238"/>
      <c r="H25" s="238"/>
      <c r="I25" s="238"/>
      <c r="J25" s="238"/>
      <c r="K25" s="238"/>
      <c r="L25" s="126" t="s">
        <v>1176</v>
      </c>
    </row>
    <row r="26" spans="2:12" s="104" customFormat="1" ht="48.75" customHeight="1" thickTop="1" thickBot="1">
      <c r="B26" s="119" t="s">
        <v>1441</v>
      </c>
      <c r="D26" s="238" t="s">
        <v>1451</v>
      </c>
      <c r="E26" s="238"/>
      <c r="F26" s="238"/>
      <c r="G26" s="238"/>
      <c r="H26" s="238"/>
      <c r="I26" s="238"/>
      <c r="J26" s="238"/>
      <c r="K26" s="238"/>
      <c r="L26" s="126" t="s">
        <v>1176</v>
      </c>
    </row>
    <row r="27" spans="2:12" s="104" customFormat="1" ht="43.5" customHeight="1" thickTop="1" thickBot="1">
      <c r="B27" s="119" t="s">
        <v>1442</v>
      </c>
      <c r="D27" s="238" t="s">
        <v>1452</v>
      </c>
      <c r="E27" s="238"/>
      <c r="F27" s="238"/>
      <c r="G27" s="238"/>
      <c r="H27" s="238"/>
      <c r="I27" s="238"/>
      <c r="J27" s="238"/>
      <c r="K27" s="238"/>
      <c r="L27" s="126" t="s">
        <v>1176</v>
      </c>
    </row>
    <row r="28" spans="2:12" s="104" customFormat="1" ht="43.5" customHeight="1" thickTop="1" thickBot="1">
      <c r="B28" s="119" t="s">
        <v>1443</v>
      </c>
      <c r="D28" s="238" t="s">
        <v>1453</v>
      </c>
      <c r="E28" s="238"/>
      <c r="F28" s="238"/>
      <c r="G28" s="238"/>
      <c r="H28" s="238"/>
      <c r="I28" s="238"/>
      <c r="J28" s="238"/>
      <c r="K28" s="238"/>
      <c r="L28" s="126" t="s">
        <v>1176</v>
      </c>
    </row>
    <row r="29" spans="2:12" s="104" customFormat="1" ht="50.25" customHeight="1" thickTop="1" thickBot="1">
      <c r="B29" s="119" t="s">
        <v>538</v>
      </c>
      <c r="D29" s="238" t="s">
        <v>1212</v>
      </c>
      <c r="E29" s="238"/>
      <c r="F29" s="238"/>
      <c r="G29" s="238"/>
      <c r="H29" s="238"/>
      <c r="I29" s="238"/>
      <c r="J29" s="238"/>
      <c r="K29" s="238"/>
      <c r="L29" s="126" t="s">
        <v>1176</v>
      </c>
    </row>
    <row r="30" spans="2:12" s="104" customFormat="1" ht="57.75" customHeight="1" thickTop="1" thickBot="1">
      <c r="B30" s="119" t="s">
        <v>1174</v>
      </c>
      <c r="D30" s="238" t="s">
        <v>1454</v>
      </c>
      <c r="E30" s="238"/>
      <c r="F30" s="238"/>
      <c r="G30" s="238"/>
      <c r="H30" s="238"/>
      <c r="I30" s="238"/>
      <c r="J30" s="238"/>
      <c r="K30" s="238"/>
      <c r="L30" s="126" t="s">
        <v>1176</v>
      </c>
    </row>
    <row r="31" spans="2:12" s="104" customFormat="1" ht="67.5" customHeight="1" thickTop="1" thickBot="1">
      <c r="B31" s="119" t="s">
        <v>1444</v>
      </c>
      <c r="D31" s="238" t="s">
        <v>1214</v>
      </c>
      <c r="E31" s="238"/>
      <c r="F31" s="238"/>
      <c r="G31" s="238"/>
      <c r="H31" s="238"/>
      <c r="I31" s="238"/>
      <c r="J31" s="238"/>
      <c r="K31" s="238"/>
      <c r="L31" s="126" t="s">
        <v>1176</v>
      </c>
    </row>
    <row r="32" spans="2:12" s="104" customFormat="1" thickTop="1">
      <c r="B32" s="120"/>
      <c r="D32" s="107"/>
      <c r="L32" s="108"/>
    </row>
    <row r="33" spans="2:12" s="104" customFormat="1" ht="18.75" customHeight="1">
      <c r="B33" s="121" t="s">
        <v>1559</v>
      </c>
      <c r="C33" s="122"/>
      <c r="D33" s="123"/>
      <c r="E33" s="122"/>
      <c r="F33" s="122"/>
      <c r="G33" s="122"/>
      <c r="H33" s="122"/>
      <c r="I33" s="122"/>
      <c r="J33" s="122"/>
      <c r="K33" s="122"/>
      <c r="L33" s="124"/>
    </row>
    <row r="34" spans="2:12" s="104" customFormat="1" ht="59.25" customHeight="1">
      <c r="B34" s="240" t="s">
        <v>1455</v>
      </c>
      <c r="C34" s="240"/>
      <c r="D34" s="240"/>
      <c r="E34" s="240"/>
      <c r="F34" s="240"/>
      <c r="G34" s="240"/>
      <c r="H34" s="240"/>
      <c r="I34" s="240"/>
      <c r="J34" s="240"/>
      <c r="K34" s="240"/>
      <c r="L34" s="240"/>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HZ108"/>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71" hidden="1" customWidth="1"/>
    <col min="2" max="2" width="9" style="171" hidden="1" customWidth="1"/>
    <col min="3" max="3" width="8.375" style="171" hidden="1" customWidth="1"/>
    <col min="4" max="4" width="12.75" style="172" customWidth="1"/>
    <col min="5" max="13" width="2.75" style="173" customWidth="1"/>
    <col min="14" max="14" width="4.5" style="173" bestFit="1" customWidth="1"/>
    <col min="15" max="15" width="5.25" style="173" bestFit="1" customWidth="1"/>
    <col min="16" max="17" width="9.875" style="174" bestFit="1" customWidth="1"/>
    <col min="18" max="18" width="7.625" style="175" hidden="1" customWidth="1"/>
    <col min="19" max="19" width="6.375" style="176" bestFit="1" customWidth="1"/>
    <col min="20" max="20" width="4.875" style="176" bestFit="1" customWidth="1"/>
    <col min="21" max="21" width="5.875" style="176" bestFit="1" customWidth="1"/>
    <col min="22" max="22" width="5" style="176" bestFit="1" customWidth="1"/>
    <col min="23" max="24" width="9.75" style="174" hidden="1" customWidth="1"/>
    <col min="25" max="25" width="7.5" style="177" hidden="1" customWidth="1"/>
    <col min="26" max="26" width="6" style="178" hidden="1" customWidth="1"/>
    <col min="27" max="27" width="6.125" style="176" hidden="1" customWidth="1"/>
    <col min="28" max="28" width="20.625" style="175" bestFit="1" customWidth="1"/>
    <col min="29" max="29" width="10.25" style="179" bestFit="1" customWidth="1"/>
    <col min="30" max="30" width="7.75" style="180" bestFit="1" customWidth="1"/>
    <col min="31" max="31" width="7.25" style="181" customWidth="1"/>
    <col min="32" max="234" width="1.875" style="159" customWidth="1"/>
    <col min="235" max="16384" width="10" style="159"/>
  </cols>
  <sheetData>
    <row r="1" spans="1:234" s="142" customFormat="1" ht="20.100000000000001" customHeight="1">
      <c r="A1" s="190"/>
      <c r="B1" s="191"/>
      <c r="C1" s="192"/>
      <c r="D1" s="193" t="str" cm="1">
        <f t="array" aca="1" ref="D1" ca="1">xlgantt.ProjectName()</f>
        <v>XYZ시스템 구축</v>
      </c>
      <c r="E1" s="194"/>
      <c r="F1" s="194"/>
      <c r="G1" s="194"/>
      <c r="H1" s="194"/>
      <c r="I1" s="194"/>
      <c r="J1" s="194"/>
      <c r="K1" s="194"/>
      <c r="L1" s="194"/>
      <c r="M1" s="194"/>
      <c r="N1" s="194"/>
      <c r="O1" s="194"/>
      <c r="P1" s="194"/>
      <c r="Q1" s="195"/>
      <c r="R1" s="196"/>
      <c r="S1" s="197"/>
      <c r="T1" s="198"/>
      <c r="U1" s="199"/>
      <c r="V1" s="199"/>
      <c r="W1" s="200"/>
      <c r="X1" s="200"/>
      <c r="Y1" s="191"/>
      <c r="Z1" s="201"/>
      <c r="AA1" s="202"/>
      <c r="AB1" s="203"/>
      <c r="AC1" s="204"/>
      <c r="AD1" s="205"/>
      <c r="AE1" s="206" t="str" cm="1">
        <f t="array" aca="1" ref="AE1" ca="1">xlgantt.ProjectProgressString()</f>
        <v>2021-02-15~2021-08-31 [계획:2.26% 실적:0.00%]</v>
      </c>
      <c r="AF1" s="212" t="s">
        <v>1535</v>
      </c>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row>
    <row r="2" spans="1:234" s="142" customFormat="1" ht="15" customHeight="1">
      <c r="A2" s="190"/>
      <c r="B2" s="190"/>
      <c r="C2" s="192"/>
      <c r="D2" s="269"/>
      <c r="E2" s="269"/>
      <c r="F2" s="269"/>
      <c r="G2" s="207"/>
      <c r="H2" s="208"/>
      <c r="I2" s="207"/>
      <c r="J2" s="207"/>
      <c r="K2" s="207"/>
      <c r="L2" s="207"/>
      <c r="M2" s="207"/>
      <c r="N2" s="207"/>
      <c r="O2" s="207"/>
      <c r="P2" s="207"/>
      <c r="Q2" s="207"/>
      <c r="R2" s="207"/>
      <c r="S2" s="209"/>
      <c r="T2" s="209"/>
      <c r="U2" s="209"/>
      <c r="V2" s="209"/>
      <c r="W2" s="207"/>
      <c r="X2" s="207"/>
      <c r="Y2" s="207"/>
      <c r="Z2" s="207"/>
      <c r="AA2" s="207"/>
      <c r="AB2" s="207"/>
      <c r="AC2" s="210"/>
      <c r="AD2" s="211"/>
      <c r="AE2" s="207" t="str" cm="1">
        <f t="array" aca="1" ref="AE2" ca="1">xlgantt.CommentOnHeadArea()</f>
        <v>별(*)표시는 필수입력</v>
      </c>
      <c r="AF2" s="250" t="s">
        <v>1311</v>
      </c>
      <c r="AG2" s="250"/>
      <c r="AH2" s="250"/>
      <c r="AI2" s="250"/>
      <c r="AJ2" s="250" t="s">
        <v>1398</v>
      </c>
      <c r="AK2" s="250"/>
      <c r="AL2" s="250"/>
      <c r="AM2" s="250"/>
      <c r="AN2" s="250" t="s">
        <v>1399</v>
      </c>
      <c r="AO2" s="250"/>
      <c r="AP2" s="250"/>
      <c r="AQ2" s="250"/>
      <c r="AR2" s="250" t="s">
        <v>1400</v>
      </c>
      <c r="AS2" s="250"/>
      <c r="AT2" s="250"/>
      <c r="AU2" s="250"/>
      <c r="AV2" s="250" t="s">
        <v>1401</v>
      </c>
      <c r="AW2" s="250"/>
      <c r="AX2" s="250"/>
      <c r="AY2" s="250"/>
      <c r="AZ2" s="250" t="s">
        <v>1402</v>
      </c>
      <c r="BA2" s="250"/>
      <c r="BB2" s="250"/>
      <c r="BC2" s="250"/>
      <c r="BD2" s="250" t="s">
        <v>1572</v>
      </c>
      <c r="BE2" s="250"/>
      <c r="BF2" s="250"/>
      <c r="BG2" s="250"/>
      <c r="BH2" s="250" t="s">
        <v>1591</v>
      </c>
      <c r="BI2" s="250"/>
      <c r="BJ2" s="250"/>
      <c r="BK2" s="250"/>
      <c r="BL2" s="232"/>
      <c r="BM2" s="232"/>
      <c r="BN2" s="232"/>
      <c r="BO2" s="232"/>
      <c r="BP2" s="232"/>
      <c r="BQ2" s="232"/>
      <c r="BR2" s="232"/>
      <c r="BS2" s="232"/>
      <c r="BT2" s="232"/>
      <c r="BU2" s="232"/>
      <c r="BV2" s="232"/>
      <c r="BW2" s="232"/>
      <c r="BX2" s="232"/>
      <c r="BY2" s="232"/>
      <c r="BZ2" s="232"/>
      <c r="CA2" s="232"/>
      <c r="CB2" s="232"/>
      <c r="CC2" s="232"/>
      <c r="CD2" s="232"/>
      <c r="CE2" s="232"/>
      <c r="CF2" s="232"/>
      <c r="CG2" s="232"/>
      <c r="CH2" s="232"/>
      <c r="CI2" s="232"/>
      <c r="CJ2" s="232"/>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c r="DR2" s="232"/>
      <c r="DS2" s="232"/>
      <c r="DT2" s="232"/>
      <c r="DU2" s="232"/>
      <c r="DV2" s="232"/>
      <c r="DW2" s="232"/>
      <c r="DX2" s="232"/>
      <c r="DY2" s="232"/>
      <c r="DZ2" s="232"/>
      <c r="EA2" s="232"/>
      <c r="EB2" s="232"/>
      <c r="EC2" s="232"/>
      <c r="ED2" s="232"/>
      <c r="EE2" s="232"/>
      <c r="EF2" s="232"/>
      <c r="EG2" s="232"/>
      <c r="EH2" s="232"/>
      <c r="EI2" s="232"/>
      <c r="EJ2" s="232"/>
      <c r="EK2" s="232"/>
      <c r="EL2" s="232"/>
      <c r="EM2" s="232"/>
      <c r="EN2" s="232"/>
      <c r="EO2" s="232"/>
      <c r="EP2" s="232"/>
      <c r="EQ2" s="232"/>
      <c r="ER2" s="232"/>
      <c r="ES2" s="232"/>
      <c r="ET2" s="232"/>
      <c r="EU2" s="232"/>
      <c r="EV2" s="232"/>
      <c r="EW2" s="232"/>
      <c r="EX2" s="232"/>
      <c r="EY2" s="232"/>
      <c r="EZ2" s="232"/>
      <c r="FA2" s="232"/>
      <c r="FB2" s="232"/>
      <c r="FC2" s="232"/>
      <c r="FD2" s="232"/>
      <c r="FE2" s="232"/>
      <c r="FF2" s="232"/>
      <c r="FG2" s="232"/>
      <c r="FH2" s="232"/>
      <c r="FI2" s="232"/>
      <c r="FJ2" s="232"/>
      <c r="FK2" s="232"/>
      <c r="FL2" s="232"/>
      <c r="FM2" s="232"/>
      <c r="FN2" s="232"/>
      <c r="FO2" s="232"/>
      <c r="FP2" s="232"/>
      <c r="FQ2" s="232"/>
      <c r="FR2" s="232"/>
      <c r="FS2" s="232"/>
      <c r="FT2" s="232"/>
      <c r="FU2" s="232"/>
      <c r="FV2" s="232"/>
      <c r="FW2" s="232"/>
      <c r="FX2" s="232"/>
      <c r="FY2" s="232"/>
      <c r="FZ2" s="232"/>
      <c r="GA2" s="232"/>
      <c r="GB2" s="232"/>
      <c r="GC2" s="232"/>
      <c r="GD2" s="232"/>
      <c r="GE2" s="232"/>
      <c r="GF2" s="232"/>
      <c r="GG2" s="232"/>
      <c r="GH2" s="232"/>
      <c r="GI2" s="232"/>
      <c r="GJ2" s="232"/>
      <c r="GK2" s="232"/>
      <c r="GL2" s="232"/>
      <c r="GM2" s="232"/>
      <c r="GN2" s="232"/>
      <c r="GO2" s="232"/>
      <c r="GP2" s="232"/>
      <c r="GQ2" s="232"/>
      <c r="GR2" s="232"/>
      <c r="GS2" s="232"/>
      <c r="GT2" s="232"/>
      <c r="GU2" s="232"/>
      <c r="GV2" s="232"/>
      <c r="GW2" s="232"/>
      <c r="GX2" s="232"/>
      <c r="GY2" s="232"/>
      <c r="GZ2" s="232"/>
      <c r="HA2" s="232"/>
      <c r="HB2" s="232"/>
      <c r="HC2" s="232"/>
      <c r="HD2" s="232"/>
      <c r="HE2" s="232"/>
      <c r="HF2" s="232"/>
      <c r="HG2" s="232"/>
      <c r="HH2" s="232"/>
      <c r="HI2" s="232"/>
      <c r="HJ2" s="232"/>
      <c r="HK2" s="232"/>
      <c r="HL2" s="232"/>
      <c r="HM2" s="232"/>
      <c r="HN2" s="232"/>
      <c r="HO2" s="232"/>
      <c r="HP2" s="232"/>
      <c r="HQ2" s="232"/>
      <c r="HR2" s="232"/>
      <c r="HS2" s="232"/>
      <c r="HT2" s="232"/>
      <c r="HU2" s="232"/>
      <c r="HV2" s="232"/>
      <c r="HW2" s="232"/>
      <c r="HX2" s="232"/>
      <c r="HY2" s="232"/>
      <c r="HZ2" s="232"/>
    </row>
    <row r="3" spans="1:234" s="143" customFormat="1" ht="18.95" customHeight="1">
      <c r="A3" s="259" t="s">
        <v>556</v>
      </c>
      <c r="B3" s="261" t="s">
        <v>551</v>
      </c>
      <c r="C3" s="263" t="s">
        <v>558</v>
      </c>
      <c r="D3" s="264" t="s">
        <v>552</v>
      </c>
      <c r="E3" s="265" t="s">
        <v>1472</v>
      </c>
      <c r="F3" s="266"/>
      <c r="G3" s="266"/>
      <c r="H3" s="266"/>
      <c r="I3" s="266"/>
      <c r="J3" s="266"/>
      <c r="K3" s="266"/>
      <c r="L3" s="266"/>
      <c r="M3" s="266"/>
      <c r="N3" s="266"/>
      <c r="O3" s="257" t="s">
        <v>1473</v>
      </c>
      <c r="P3" s="257" t="s">
        <v>1474</v>
      </c>
      <c r="Q3" s="257" t="s">
        <v>1475</v>
      </c>
      <c r="R3" s="275" t="s">
        <v>1515</v>
      </c>
      <c r="S3" s="270" t="s">
        <v>1476</v>
      </c>
      <c r="T3" s="277" t="s">
        <v>1477</v>
      </c>
      <c r="U3" s="270" t="s">
        <v>1478</v>
      </c>
      <c r="V3" s="270" t="s">
        <v>1479</v>
      </c>
      <c r="W3" s="272" t="s">
        <v>1480</v>
      </c>
      <c r="X3" s="272" t="s">
        <v>1481</v>
      </c>
      <c r="Y3" s="279" t="s">
        <v>1482</v>
      </c>
      <c r="Z3" s="273" t="s">
        <v>1483</v>
      </c>
      <c r="AA3" s="281" t="s">
        <v>1484</v>
      </c>
      <c r="AB3" s="257" t="s">
        <v>1485</v>
      </c>
      <c r="AC3" s="251" t="s">
        <v>1517</v>
      </c>
      <c r="AD3" s="255" t="s">
        <v>1486</v>
      </c>
      <c r="AE3" s="253" t="s">
        <v>1487</v>
      </c>
      <c r="AF3" s="268" t="s">
        <v>1574</v>
      </c>
      <c r="AG3" s="248"/>
      <c r="AH3" s="248"/>
      <c r="AI3" s="248"/>
      <c r="AJ3" s="247" t="s">
        <v>1575</v>
      </c>
      <c r="AK3" s="248"/>
      <c r="AL3" s="248"/>
      <c r="AM3" s="248"/>
      <c r="AN3" s="247" t="s">
        <v>1579</v>
      </c>
      <c r="AO3" s="248"/>
      <c r="AP3" s="248"/>
      <c r="AQ3" s="248"/>
      <c r="AR3" s="247" t="s">
        <v>1580</v>
      </c>
      <c r="AS3" s="248"/>
      <c r="AT3" s="248"/>
      <c r="AU3" s="248"/>
      <c r="AV3" s="247" t="s">
        <v>1587</v>
      </c>
      <c r="AW3" s="248"/>
      <c r="AX3" s="248"/>
      <c r="AY3" s="248"/>
      <c r="AZ3" s="247" t="s">
        <v>1588</v>
      </c>
      <c r="BA3" s="248"/>
      <c r="BB3" s="248"/>
      <c r="BC3" s="248"/>
      <c r="BD3" s="247" t="s">
        <v>1589</v>
      </c>
      <c r="BE3" s="248"/>
      <c r="BF3" s="248"/>
      <c r="BG3" s="248"/>
      <c r="BH3" s="247" t="s">
        <v>1590</v>
      </c>
      <c r="BI3" s="248"/>
      <c r="BJ3" s="248"/>
      <c r="BK3" s="249"/>
    </row>
    <row r="4" spans="1:234" s="144" customFormat="1" ht="6" customHeight="1">
      <c r="A4" s="260"/>
      <c r="B4" s="262"/>
      <c r="C4" s="259"/>
      <c r="D4" s="252"/>
      <c r="E4" s="267"/>
      <c r="F4" s="266"/>
      <c r="G4" s="266"/>
      <c r="H4" s="266"/>
      <c r="I4" s="266"/>
      <c r="J4" s="266"/>
      <c r="K4" s="266"/>
      <c r="L4" s="266"/>
      <c r="M4" s="266"/>
      <c r="N4" s="266"/>
      <c r="O4" s="258"/>
      <c r="P4" s="258"/>
      <c r="Q4" s="258"/>
      <c r="R4" s="276"/>
      <c r="S4" s="271"/>
      <c r="T4" s="278"/>
      <c r="U4" s="271"/>
      <c r="V4" s="271"/>
      <c r="W4" s="258"/>
      <c r="X4" s="258"/>
      <c r="Y4" s="280"/>
      <c r="Z4" s="274"/>
      <c r="AA4" s="282"/>
      <c r="AB4" s="258"/>
      <c r="AC4" s="252"/>
      <c r="AD4" s="256"/>
      <c r="AE4" s="254"/>
      <c r="AF4" s="186">
        <v>44241</v>
      </c>
      <c r="AG4" s="187">
        <v>44248</v>
      </c>
      <c r="AH4" s="187">
        <v>44255</v>
      </c>
      <c r="AI4" s="187">
        <v>44262</v>
      </c>
      <c r="AJ4" s="187">
        <v>44269</v>
      </c>
      <c r="AK4" s="187">
        <v>44276</v>
      </c>
      <c r="AL4" s="187">
        <v>44283</v>
      </c>
      <c r="AM4" s="187">
        <v>44290</v>
      </c>
      <c r="AN4" s="187">
        <v>44297</v>
      </c>
      <c r="AO4" s="187">
        <v>44304</v>
      </c>
      <c r="AP4" s="187">
        <v>44311</v>
      </c>
      <c r="AQ4" s="187">
        <v>44318</v>
      </c>
      <c r="AR4" s="187">
        <v>44325</v>
      </c>
      <c r="AS4" s="187">
        <v>44332</v>
      </c>
      <c r="AT4" s="187">
        <v>44339</v>
      </c>
      <c r="AU4" s="187">
        <v>44346</v>
      </c>
      <c r="AV4" s="187">
        <v>44353</v>
      </c>
      <c r="AW4" s="187">
        <v>44360</v>
      </c>
      <c r="AX4" s="187">
        <v>44367</v>
      </c>
      <c r="AY4" s="187">
        <v>44374</v>
      </c>
      <c r="AZ4" s="187">
        <v>44381</v>
      </c>
      <c r="BA4" s="187">
        <v>44388</v>
      </c>
      <c r="BB4" s="187">
        <v>44395</v>
      </c>
      <c r="BC4" s="187">
        <v>44402</v>
      </c>
      <c r="BD4" s="187">
        <v>44409</v>
      </c>
      <c r="BE4" s="187">
        <v>44416</v>
      </c>
      <c r="BF4" s="187">
        <v>44423</v>
      </c>
      <c r="BG4" s="187">
        <v>44430</v>
      </c>
      <c r="BH4" s="187">
        <v>44437</v>
      </c>
      <c r="BI4" s="214"/>
      <c r="BJ4" s="214"/>
      <c r="BK4" s="188"/>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c r="CM4" s="189"/>
      <c r="CN4" s="189"/>
      <c r="CO4" s="189"/>
      <c r="CP4" s="189"/>
      <c r="CQ4" s="189"/>
      <c r="CR4" s="189"/>
      <c r="CS4" s="189"/>
      <c r="CT4" s="189"/>
      <c r="CU4" s="189"/>
      <c r="CV4" s="189"/>
      <c r="CW4" s="189"/>
      <c r="CX4" s="189"/>
      <c r="CY4" s="189"/>
      <c r="CZ4" s="189"/>
      <c r="DA4" s="189"/>
      <c r="DB4" s="189"/>
      <c r="DC4" s="189"/>
      <c r="DD4" s="189"/>
      <c r="DE4" s="189"/>
      <c r="DF4" s="189"/>
      <c r="DG4" s="189"/>
      <c r="DH4" s="189"/>
      <c r="DI4" s="189"/>
      <c r="DJ4" s="189"/>
      <c r="DK4" s="189"/>
      <c r="DL4" s="189"/>
      <c r="DM4" s="189"/>
      <c r="DN4" s="189"/>
      <c r="DO4" s="189"/>
      <c r="DP4" s="189"/>
      <c r="DQ4" s="189"/>
      <c r="DR4" s="189"/>
      <c r="DS4" s="189"/>
      <c r="DT4" s="189"/>
      <c r="DU4" s="189"/>
      <c r="DV4" s="189"/>
      <c r="DW4" s="189"/>
      <c r="DX4" s="189"/>
      <c r="DY4" s="189"/>
      <c r="DZ4" s="189"/>
      <c r="EA4" s="189"/>
      <c r="EB4" s="189"/>
      <c r="EC4" s="189"/>
      <c r="ED4" s="189"/>
      <c r="EE4" s="189"/>
      <c r="EF4" s="189"/>
      <c r="EG4" s="189"/>
      <c r="EH4" s="189"/>
      <c r="EI4" s="189"/>
      <c r="EJ4" s="189"/>
      <c r="EK4" s="189"/>
      <c r="EL4" s="189"/>
      <c r="EM4" s="189"/>
      <c r="EN4" s="189"/>
      <c r="EO4" s="189"/>
      <c r="EP4" s="189"/>
      <c r="EQ4" s="189"/>
      <c r="ER4" s="189"/>
      <c r="ES4" s="189"/>
      <c r="ET4" s="189"/>
      <c r="EU4" s="189"/>
      <c r="EV4" s="189"/>
      <c r="EW4" s="189"/>
      <c r="EX4" s="189"/>
      <c r="EY4" s="189"/>
      <c r="EZ4" s="189"/>
      <c r="FA4" s="189"/>
      <c r="FB4" s="189"/>
      <c r="FC4" s="189"/>
      <c r="FD4" s="189"/>
      <c r="FE4" s="189"/>
      <c r="FF4" s="189"/>
      <c r="FG4" s="189"/>
      <c r="FH4" s="189"/>
      <c r="FI4" s="189"/>
      <c r="FJ4" s="189"/>
      <c r="FK4" s="189"/>
      <c r="FL4" s="189"/>
      <c r="FM4" s="189"/>
      <c r="FN4" s="189"/>
      <c r="FO4" s="189"/>
      <c r="FP4" s="189"/>
      <c r="FQ4" s="189"/>
      <c r="FR4" s="189"/>
      <c r="FS4" s="189"/>
      <c r="FT4" s="189"/>
      <c r="FU4" s="189"/>
      <c r="FV4" s="189"/>
      <c r="FW4" s="189"/>
      <c r="FX4" s="189"/>
      <c r="FY4" s="189"/>
      <c r="FZ4" s="189"/>
      <c r="GA4" s="189"/>
      <c r="GB4" s="189"/>
      <c r="GC4" s="189"/>
      <c r="GD4" s="189"/>
      <c r="GE4" s="189"/>
      <c r="GF4" s="189"/>
      <c r="GG4" s="189"/>
      <c r="GH4" s="189"/>
      <c r="GI4" s="189"/>
      <c r="GJ4" s="189"/>
      <c r="GK4" s="189"/>
      <c r="GL4" s="189"/>
      <c r="GM4" s="189"/>
      <c r="GN4" s="189"/>
      <c r="GO4" s="189"/>
      <c r="GP4" s="189"/>
      <c r="GQ4" s="189"/>
      <c r="GR4" s="189"/>
      <c r="GS4" s="189"/>
      <c r="GT4" s="189"/>
      <c r="GU4" s="189"/>
      <c r="GV4" s="189"/>
      <c r="GW4" s="189"/>
      <c r="GX4" s="189"/>
      <c r="GY4" s="189"/>
      <c r="GZ4" s="189"/>
      <c r="HA4" s="189"/>
      <c r="HB4" s="189"/>
      <c r="HC4" s="189"/>
      <c r="HD4" s="189"/>
      <c r="HE4" s="189"/>
      <c r="HF4" s="189"/>
      <c r="HG4" s="189"/>
      <c r="HH4" s="189"/>
      <c r="HI4" s="189"/>
      <c r="HJ4" s="189"/>
      <c r="HK4" s="189"/>
      <c r="HL4" s="189"/>
      <c r="HM4" s="189"/>
      <c r="HN4" s="189"/>
      <c r="HO4" s="189"/>
      <c r="HP4" s="189"/>
      <c r="HQ4" s="189"/>
      <c r="HR4" s="189"/>
      <c r="HS4" s="189"/>
      <c r="HT4" s="189"/>
      <c r="HU4" s="189"/>
      <c r="HV4" s="189"/>
      <c r="HW4" s="189"/>
      <c r="HX4" s="189"/>
      <c r="HY4" s="189"/>
      <c r="HZ4" s="189"/>
    </row>
    <row r="5" spans="1:234" ht="12" customHeight="1">
      <c r="A5" s="145"/>
      <c r="B5" s="145" t="s">
        <v>1508</v>
      </c>
      <c r="C5" s="145">
        <v>1</v>
      </c>
      <c r="D5" s="146" t="s">
        <v>1025</v>
      </c>
      <c r="E5" s="233" t="s">
        <v>1592</v>
      </c>
      <c r="F5" s="233"/>
      <c r="G5" s="147"/>
      <c r="H5" s="147"/>
      <c r="I5" s="147"/>
      <c r="J5" s="147"/>
      <c r="K5" s="147"/>
      <c r="L5" s="147"/>
      <c r="M5" s="147"/>
      <c r="N5" s="147"/>
      <c r="O5" s="147"/>
      <c r="P5" s="305">
        <v>44242</v>
      </c>
      <c r="Q5" s="305">
        <v>44439</v>
      </c>
      <c r="R5" s="149"/>
      <c r="S5" s="150">
        <v>266</v>
      </c>
      <c r="T5" s="150">
        <v>6</v>
      </c>
      <c r="U5" s="150">
        <v>139</v>
      </c>
      <c r="V5" s="150">
        <v>3</v>
      </c>
      <c r="W5" s="148"/>
      <c r="X5" s="148"/>
      <c r="Y5" s="151">
        <v>0</v>
      </c>
      <c r="Z5" s="152">
        <v>0</v>
      </c>
      <c r="AA5" s="150"/>
      <c r="AB5" s="149"/>
      <c r="AC5" s="153"/>
      <c r="AD5" s="154">
        <v>2.2556390977443608E-2</v>
      </c>
      <c r="AE5" s="304">
        <v>0</v>
      </c>
      <c r="AF5" s="156" t="str">
        <f>" " &amp; TEXT(AE5,"#0.00%") &amp; " "</f>
        <v xml:space="preserve"> 0.00% </v>
      </c>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t="str">
        <f>"   " &amp; "MIL3.0" &amp; " " &amp; IF(P5="","",TEXT(P5,"M/D-")) &amp; IF(Q5="","",TEXT(Q5,"M/D")) &amp; " "</f>
        <v xml:space="preserve">   MIL3.0 2/15-8/31 </v>
      </c>
      <c r="BI5" s="157"/>
      <c r="BJ5" s="158"/>
      <c r="BK5" s="158"/>
    </row>
    <row r="6" spans="1:234" ht="12" customHeight="1" outlineLevel="1">
      <c r="A6" s="145"/>
      <c r="B6" s="145" t="s">
        <v>1508</v>
      </c>
      <c r="C6" s="145">
        <v>2</v>
      </c>
      <c r="D6" s="146" t="s">
        <v>1099</v>
      </c>
      <c r="E6" s="233"/>
      <c r="F6" s="147" t="s">
        <v>1573</v>
      </c>
      <c r="G6" s="147"/>
      <c r="H6" s="147"/>
      <c r="I6" s="147"/>
      <c r="J6" s="147"/>
      <c r="K6" s="147"/>
      <c r="L6" s="147"/>
      <c r="M6" s="147"/>
      <c r="N6" s="147"/>
      <c r="O6" s="147"/>
      <c r="P6" s="148">
        <v>44242</v>
      </c>
      <c r="Q6" s="148">
        <v>44439</v>
      </c>
      <c r="R6" s="149"/>
      <c r="S6" s="150">
        <v>139</v>
      </c>
      <c r="T6" s="150">
        <v>3</v>
      </c>
      <c r="U6" s="150">
        <v>139</v>
      </c>
      <c r="V6" s="150">
        <v>3</v>
      </c>
      <c r="W6" s="148"/>
      <c r="X6" s="148"/>
      <c r="Y6" s="151">
        <v>0</v>
      </c>
      <c r="Z6" s="152">
        <v>0</v>
      </c>
      <c r="AA6" s="150"/>
      <c r="AB6" s="149"/>
      <c r="AC6" s="153"/>
      <c r="AD6" s="154">
        <v>2.1582733812949641E-2</v>
      </c>
      <c r="AE6" s="304">
        <v>0</v>
      </c>
      <c r="AF6" s="156" t="str">
        <f>" " &amp; TEXT(AE6,"#0.00%") &amp; " "</f>
        <v xml:space="preserve"> 0.00% </v>
      </c>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t="str">
        <f>"   " &amp; "PHP2SPRING" &amp; " " &amp; IF(P6="","",TEXT(P6,"M/D-")) &amp; IF(Q6="","",TEXT(Q6,"M/D")) &amp; " "</f>
        <v xml:space="preserve">   PHP2SPRING 2/15-8/31 </v>
      </c>
      <c r="BI6" s="157"/>
    </row>
    <row r="7" spans="1:234" ht="12" customHeight="1" outlineLevel="2">
      <c r="A7" s="145"/>
      <c r="B7" s="145"/>
      <c r="C7" s="145">
        <v>3</v>
      </c>
      <c r="D7" s="146" t="s">
        <v>1100</v>
      </c>
      <c r="E7" s="233"/>
      <c r="F7" s="147"/>
      <c r="G7" s="147" t="s">
        <v>1564</v>
      </c>
      <c r="H7" s="147"/>
      <c r="I7" s="147"/>
      <c r="J7" s="147"/>
      <c r="K7" s="147"/>
      <c r="L7" s="147"/>
      <c r="M7" s="147"/>
      <c r="N7" s="147"/>
      <c r="O7" s="147"/>
      <c r="P7" s="148">
        <v>44242</v>
      </c>
      <c r="Q7" s="148">
        <v>44268</v>
      </c>
      <c r="R7" s="149"/>
      <c r="S7" s="150">
        <v>19</v>
      </c>
      <c r="T7" s="150">
        <v>3</v>
      </c>
      <c r="U7" s="150">
        <v>19</v>
      </c>
      <c r="V7" s="150">
        <v>3</v>
      </c>
      <c r="W7" s="148"/>
      <c r="X7" s="148"/>
      <c r="Y7" s="151"/>
      <c r="Z7" s="152">
        <v>0</v>
      </c>
      <c r="AA7" s="150"/>
      <c r="AB7" s="149"/>
      <c r="AC7" s="153"/>
      <c r="AD7" s="154">
        <v>0.15789473684210525</v>
      </c>
      <c r="AE7" s="303">
        <v>0</v>
      </c>
      <c r="AF7" s="156" t="str">
        <f>" " &amp; TEXT(AE7,"#0.00%") &amp; " "</f>
        <v xml:space="preserve"> 0.00% </v>
      </c>
      <c r="AG7" s="157"/>
      <c r="AH7" s="157"/>
      <c r="AI7" s="157"/>
      <c r="AJ7" s="157" t="str">
        <f>"" &amp; "현행 시스템 분석 및 정리" &amp; " " &amp; IF(P7="","",TEXT(P7,"M/D-")) &amp; IF(Q7="","",TEXT(Q7,"M/D")) &amp; " "</f>
        <v xml:space="preserve">현행 시스템 분석 및 정리 2/15-3/13 </v>
      </c>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234" ht="12" customHeight="1" outlineLevel="2">
      <c r="A8" s="145"/>
      <c r="B8" s="145"/>
      <c r="C8" s="145">
        <v>3</v>
      </c>
      <c r="D8" s="146" t="s">
        <v>1101</v>
      </c>
      <c r="E8" s="233"/>
      <c r="F8" s="147"/>
      <c r="G8" s="147" t="s">
        <v>1576</v>
      </c>
      <c r="H8" s="147"/>
      <c r="I8" s="147"/>
      <c r="J8" s="147"/>
      <c r="K8" s="147"/>
      <c r="L8" s="147"/>
      <c r="M8" s="147"/>
      <c r="N8" s="147"/>
      <c r="O8" s="147"/>
      <c r="P8" s="148">
        <v>44269</v>
      </c>
      <c r="Q8" s="148">
        <v>44283</v>
      </c>
      <c r="R8" s="149"/>
      <c r="S8" s="150">
        <v>10</v>
      </c>
      <c r="T8" s="150">
        <v>0</v>
      </c>
      <c r="U8" s="150">
        <v>10</v>
      </c>
      <c r="V8" s="150">
        <v>0</v>
      </c>
      <c r="W8" s="148"/>
      <c r="X8" s="148"/>
      <c r="Y8" s="151"/>
      <c r="Z8" s="152">
        <v>0</v>
      </c>
      <c r="AA8" s="150"/>
      <c r="AB8" s="149"/>
      <c r="AC8" s="153"/>
      <c r="AD8" s="154">
        <v>0</v>
      </c>
      <c r="AE8" s="185">
        <v>0</v>
      </c>
      <c r="AF8" s="156"/>
      <c r="AG8" s="157"/>
      <c r="AH8" s="157"/>
      <c r="AI8" s="157"/>
      <c r="AJ8" s="157" t="str">
        <f>"" &amp; TEXT(AE8,"#0.00%") &amp; " " &amp; "개발 환경 구축 및 SPRING STUDY" &amp; " " &amp; IF(P8="","",TEXT(P8,"M/D-")) &amp; IF(Q8="","",TEXT(Q8,"M/D")) &amp; " "</f>
        <v xml:space="preserve">0.00% 개발 환경 구축 및 SPRING STUDY 3/14-3/28 </v>
      </c>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234" ht="12" customHeight="1" outlineLevel="2">
      <c r="A9" s="145"/>
      <c r="B9" s="145" t="s">
        <v>1508</v>
      </c>
      <c r="C9" s="145">
        <v>3</v>
      </c>
      <c r="D9" s="146" t="s">
        <v>1122</v>
      </c>
      <c r="E9" s="233"/>
      <c r="F9" s="233"/>
      <c r="G9" s="233" t="s">
        <v>1565</v>
      </c>
      <c r="H9" s="233"/>
      <c r="I9" s="233"/>
      <c r="J9" s="233"/>
      <c r="K9" s="233"/>
      <c r="L9" s="147"/>
      <c r="M9" s="147"/>
      <c r="N9" s="147"/>
      <c r="O9" s="147"/>
      <c r="P9" s="305">
        <v>44284</v>
      </c>
      <c r="Q9" s="305">
        <v>44347</v>
      </c>
      <c r="R9" s="149"/>
      <c r="S9" s="150">
        <v>44</v>
      </c>
      <c r="T9" s="150">
        <v>0</v>
      </c>
      <c r="U9" s="150">
        <v>44</v>
      </c>
      <c r="V9" s="150">
        <v>0</v>
      </c>
      <c r="W9" s="148"/>
      <c r="X9" s="148"/>
      <c r="Y9" s="151">
        <v>0</v>
      </c>
      <c r="Z9" s="152">
        <v>0</v>
      </c>
      <c r="AA9" s="150"/>
      <c r="AB9" s="149"/>
      <c r="AC9" s="153"/>
      <c r="AD9" s="154">
        <v>0</v>
      </c>
      <c r="AE9" s="213">
        <v>0</v>
      </c>
      <c r="AF9" s="156"/>
      <c r="AG9" s="157"/>
      <c r="AH9" s="157"/>
      <c r="AI9" s="157"/>
      <c r="AJ9" s="157"/>
      <c r="AK9" s="157"/>
      <c r="AL9" s="157" t="str">
        <f>" " &amp; TEXT(AE9,"#0.00%") &amp; " "</f>
        <v xml:space="preserve"> 0.00% </v>
      </c>
      <c r="AM9" s="157"/>
      <c r="AN9" s="157"/>
      <c r="AO9" s="157"/>
      <c r="AP9" s="157"/>
      <c r="AQ9" s="157"/>
      <c r="AR9" s="157"/>
      <c r="AS9" s="157"/>
      <c r="AT9" s="157"/>
      <c r="AU9" s="157" t="str">
        <f>"  " &amp; "CIL" &amp; " " &amp; IF(P9="","",TEXT(P9,"M/D-")) &amp; IF(Q9="","",TEXT(Q9,"M/D")) &amp; " "</f>
        <v xml:space="preserve">  CIL 3/29-5/31 </v>
      </c>
      <c r="AV9" s="157"/>
      <c r="AW9" s="157"/>
      <c r="AX9" s="157"/>
      <c r="AY9" s="157"/>
      <c r="AZ9" s="157"/>
      <c r="BA9" s="157"/>
      <c r="BB9" s="157"/>
      <c r="BC9" s="157"/>
      <c r="BD9" s="157"/>
      <c r="BE9" s="157"/>
      <c r="BF9" s="157"/>
      <c r="BG9" s="157"/>
      <c r="BH9" s="157"/>
      <c r="BI9" s="157"/>
    </row>
    <row r="10" spans="1:234" ht="12" customHeight="1" outlineLevel="3">
      <c r="A10" s="145"/>
      <c r="B10" s="145"/>
      <c r="C10" s="145">
        <v>4</v>
      </c>
      <c r="D10" s="146" t="s">
        <v>1599</v>
      </c>
      <c r="E10" s="233"/>
      <c r="F10" s="147"/>
      <c r="G10" s="233"/>
      <c r="H10" s="147" t="s">
        <v>1577</v>
      </c>
      <c r="I10" s="147"/>
      <c r="J10" s="147"/>
      <c r="K10" s="147"/>
      <c r="L10" s="147"/>
      <c r="M10" s="147"/>
      <c r="N10" s="147"/>
      <c r="O10" s="147"/>
      <c r="P10" s="148">
        <v>44284</v>
      </c>
      <c r="Q10" s="148">
        <v>44332</v>
      </c>
      <c r="R10" s="149"/>
      <c r="S10" s="150">
        <v>34</v>
      </c>
      <c r="T10" s="150">
        <v>0</v>
      </c>
      <c r="U10" s="150">
        <v>34</v>
      </c>
      <c r="V10" s="150">
        <v>0</v>
      </c>
      <c r="W10" s="148"/>
      <c r="X10" s="148"/>
      <c r="Y10" s="151"/>
      <c r="Z10" s="152">
        <v>0</v>
      </c>
      <c r="AA10" s="150"/>
      <c r="AB10" s="149"/>
      <c r="AC10" s="153"/>
      <c r="AD10" s="154">
        <v>0</v>
      </c>
      <c r="AE10" s="185">
        <v>0</v>
      </c>
      <c r="AF10" s="156"/>
      <c r="AG10" s="157"/>
      <c r="AH10" s="157"/>
      <c r="AI10" s="157"/>
      <c r="AJ10" s="157"/>
      <c r="AK10" s="157"/>
      <c r="AL10" s="157" t="str">
        <f>" " &amp; TEXT(AE10,"#0.00%") &amp; " "</f>
        <v xml:space="preserve"> 0.00% </v>
      </c>
      <c r="AM10" s="157"/>
      <c r="AN10" s="157"/>
      <c r="AO10" s="157"/>
      <c r="AP10" s="157"/>
      <c r="AQ10" s="157"/>
      <c r="AR10" s="157"/>
      <c r="AS10" s="157" t="str">
        <f>" " &amp; "CIL 구현" &amp; " " &amp; IF(P10="","",TEXT(P10,"M/D-")) &amp; IF(Q10="","",TEXT(Q10,"M/D")) &amp; " "</f>
        <v xml:space="preserve"> CIL 구현 3/29-5/16 </v>
      </c>
      <c r="AT10" s="157"/>
      <c r="AU10" s="157"/>
      <c r="AV10" s="157"/>
      <c r="AW10" s="157"/>
      <c r="AX10" s="157"/>
      <c r="AY10" s="157"/>
      <c r="AZ10" s="157"/>
      <c r="BA10" s="157"/>
      <c r="BB10" s="157"/>
      <c r="BC10" s="157"/>
      <c r="BD10" s="157"/>
      <c r="BE10" s="157"/>
      <c r="BF10" s="157"/>
      <c r="BG10" s="157"/>
      <c r="BH10" s="157"/>
      <c r="BI10" s="157"/>
    </row>
    <row r="11" spans="1:234" ht="12" customHeight="1" outlineLevel="3">
      <c r="A11" s="145"/>
      <c r="B11" s="145"/>
      <c r="C11" s="145">
        <v>4</v>
      </c>
      <c r="D11" s="146" t="s">
        <v>1600</v>
      </c>
      <c r="E11" s="233"/>
      <c r="F11" s="147"/>
      <c r="G11" s="233"/>
      <c r="H11" s="147" t="s">
        <v>1578</v>
      </c>
      <c r="I11" s="147"/>
      <c r="J11" s="147"/>
      <c r="K11" s="147"/>
      <c r="L11" s="147"/>
      <c r="M11" s="147"/>
      <c r="N11" s="147"/>
      <c r="O11" s="147"/>
      <c r="P11" s="148">
        <v>44333</v>
      </c>
      <c r="Q11" s="148">
        <v>44347</v>
      </c>
      <c r="R11" s="149"/>
      <c r="S11" s="150">
        <v>10</v>
      </c>
      <c r="T11" s="150">
        <v>0</v>
      </c>
      <c r="U11" s="150">
        <v>10</v>
      </c>
      <c r="V11" s="150">
        <v>0</v>
      </c>
      <c r="W11" s="148"/>
      <c r="X11" s="148"/>
      <c r="Y11" s="151"/>
      <c r="Z11" s="152">
        <v>0</v>
      </c>
      <c r="AA11" s="150"/>
      <c r="AB11" s="149"/>
      <c r="AC11" s="153"/>
      <c r="AD11" s="154">
        <v>0</v>
      </c>
      <c r="AE11" s="185">
        <v>0</v>
      </c>
      <c r="AF11" s="156"/>
      <c r="AG11" s="157"/>
      <c r="AH11" s="157"/>
      <c r="AI11" s="157"/>
      <c r="AJ11" s="157"/>
      <c r="AK11" s="157"/>
      <c r="AL11" s="157"/>
      <c r="AM11" s="157"/>
      <c r="AN11" s="157"/>
      <c r="AO11" s="157"/>
      <c r="AP11" s="157"/>
      <c r="AQ11" s="157"/>
      <c r="AR11" s="157"/>
      <c r="AS11" s="157" t="str">
        <f>" " &amp; TEXT(AE11,"#0.00%") &amp; " " &amp; "CIL TEST &amp;MODIFY" &amp; " " &amp; IF(P11="","",TEXT(P11,"M/D-")) &amp; IF(Q11="","",TEXT(Q11,"M/D")) &amp; " "</f>
        <v xml:space="preserve"> 0.00% CIL TEST &amp;MODIFY 5/17-5/31 </v>
      </c>
      <c r="AT11" s="157"/>
      <c r="AU11" s="157"/>
      <c r="AV11" s="157"/>
      <c r="AW11" s="157"/>
      <c r="AX11" s="157"/>
      <c r="AY11" s="157"/>
      <c r="AZ11" s="157"/>
      <c r="BA11" s="157"/>
      <c r="BB11" s="157"/>
      <c r="BC11" s="157"/>
      <c r="BD11" s="157"/>
      <c r="BE11" s="157"/>
      <c r="BF11" s="157"/>
      <c r="BG11" s="157"/>
      <c r="BH11" s="157"/>
      <c r="BI11" s="157"/>
    </row>
    <row r="12" spans="1:234" ht="12" customHeight="1" outlineLevel="2">
      <c r="A12" s="145"/>
      <c r="B12" s="145" t="s">
        <v>1508</v>
      </c>
      <c r="C12" s="145">
        <v>3</v>
      </c>
      <c r="D12" s="146" t="s">
        <v>1123</v>
      </c>
      <c r="E12" s="233"/>
      <c r="F12" s="233"/>
      <c r="G12" s="233" t="s">
        <v>1567</v>
      </c>
      <c r="H12" s="233"/>
      <c r="I12" s="233"/>
      <c r="J12" s="233"/>
      <c r="K12" s="233"/>
      <c r="L12" s="233"/>
      <c r="M12" s="233"/>
      <c r="N12" s="233"/>
      <c r="O12" s="147"/>
      <c r="P12" s="305">
        <v>44348</v>
      </c>
      <c r="Q12" s="305">
        <v>44387</v>
      </c>
      <c r="R12" s="149"/>
      <c r="S12" s="150">
        <v>29</v>
      </c>
      <c r="T12" s="150">
        <v>0</v>
      </c>
      <c r="U12" s="150">
        <v>29</v>
      </c>
      <c r="V12" s="150">
        <v>0</v>
      </c>
      <c r="W12" s="148"/>
      <c r="X12" s="148"/>
      <c r="Y12" s="151">
        <v>0</v>
      </c>
      <c r="Z12" s="152">
        <v>0</v>
      </c>
      <c r="AA12" s="150"/>
      <c r="AB12" s="149"/>
      <c r="AC12" s="153"/>
      <c r="AD12" s="154">
        <v>0</v>
      </c>
      <c r="AE12" s="213">
        <v>0</v>
      </c>
      <c r="AF12" s="156"/>
      <c r="AG12" s="157"/>
      <c r="AH12" s="157"/>
      <c r="AI12" s="157"/>
      <c r="AJ12" s="157"/>
      <c r="AK12" s="157"/>
      <c r="AL12" s="157"/>
      <c r="AM12" s="157"/>
      <c r="AN12" s="157"/>
      <c r="AO12" s="157"/>
      <c r="AP12" s="157"/>
      <c r="AQ12" s="157"/>
      <c r="AR12" s="157"/>
      <c r="AS12" s="157"/>
      <c r="AT12" s="157"/>
      <c r="AU12" s="157" t="str">
        <f>"  " &amp; TEXT(AE12,"#0.00%") &amp; " "</f>
        <v xml:space="preserve">  0.00% </v>
      </c>
      <c r="AV12" s="157"/>
      <c r="AW12" s="157"/>
      <c r="AX12" s="157"/>
      <c r="AY12" s="157"/>
      <c r="AZ12" s="157"/>
      <c r="BA12" s="157" t="str">
        <f>"" &amp; "INDUSTRY INSIGHT" &amp; " " &amp; IF(P12="","",TEXT(P12,"M/D-")) &amp; IF(Q12="","",TEXT(Q12,"M/D")) &amp; " "</f>
        <v xml:space="preserve">INDUSTRY INSIGHT 6/1-7/10 </v>
      </c>
      <c r="BB12" s="157"/>
      <c r="BC12" s="157"/>
      <c r="BD12" s="157"/>
      <c r="BE12" s="157"/>
      <c r="BF12" s="157"/>
      <c r="BG12" s="157"/>
      <c r="BH12" s="157"/>
      <c r="BI12" s="157"/>
    </row>
    <row r="13" spans="1:234" ht="12" customHeight="1" outlineLevel="3">
      <c r="A13" s="145"/>
      <c r="B13" s="145"/>
      <c r="C13" s="145">
        <v>4</v>
      </c>
      <c r="D13" s="146" t="s">
        <v>1601</v>
      </c>
      <c r="E13" s="233"/>
      <c r="F13" s="147"/>
      <c r="G13" s="233"/>
      <c r="H13" s="147" t="s">
        <v>1581</v>
      </c>
      <c r="I13" s="147"/>
      <c r="J13" s="147"/>
      <c r="K13" s="147"/>
      <c r="L13" s="147"/>
      <c r="M13" s="147"/>
      <c r="N13" s="147"/>
      <c r="O13" s="147"/>
      <c r="P13" s="148">
        <v>44348</v>
      </c>
      <c r="Q13" s="148">
        <v>44374</v>
      </c>
      <c r="R13" s="149"/>
      <c r="S13" s="150">
        <v>19</v>
      </c>
      <c r="T13" s="150">
        <v>0</v>
      </c>
      <c r="U13" s="150">
        <v>19</v>
      </c>
      <c r="V13" s="150">
        <v>0</v>
      </c>
      <c r="W13" s="148"/>
      <c r="X13" s="148"/>
      <c r="Y13" s="151"/>
      <c r="Z13" s="152">
        <v>0</v>
      </c>
      <c r="AA13" s="150"/>
      <c r="AB13" s="149"/>
      <c r="AC13" s="153"/>
      <c r="AD13" s="154">
        <v>0</v>
      </c>
      <c r="AE13" s="185">
        <v>0</v>
      </c>
      <c r="AF13" s="156"/>
      <c r="AG13" s="157"/>
      <c r="AH13" s="157"/>
      <c r="AI13" s="157"/>
      <c r="AJ13" s="157"/>
      <c r="AK13" s="157"/>
      <c r="AL13" s="157"/>
      <c r="AM13" s="157"/>
      <c r="AN13" s="157"/>
      <c r="AO13" s="157"/>
      <c r="AP13" s="157"/>
      <c r="AQ13" s="157"/>
      <c r="AR13" s="157"/>
      <c r="AS13" s="157"/>
      <c r="AT13" s="157"/>
      <c r="AU13" s="157" t="str">
        <f>"  " &amp; TEXT(AE13,"#0.00%") &amp; " "</f>
        <v xml:space="preserve">  0.00% </v>
      </c>
      <c r="AV13" s="157"/>
      <c r="AW13" s="157"/>
      <c r="AX13" s="157"/>
      <c r="AY13" s="157" t="str">
        <f>" " &amp; "INDUSTRY INSIGHT 구현" &amp; " " &amp; IF(P13="","",TEXT(P13,"M/D-")) &amp; IF(Q13="","",TEXT(Q13,"M/D")) &amp; " "</f>
        <v xml:space="preserve"> INDUSTRY INSIGHT 구현 6/1-6/27 </v>
      </c>
      <c r="AZ13" s="157"/>
      <c r="BA13" s="157"/>
      <c r="BB13" s="157"/>
      <c r="BC13" s="157"/>
      <c r="BD13" s="157"/>
      <c r="BE13" s="157"/>
      <c r="BF13" s="157"/>
      <c r="BG13" s="157"/>
      <c r="BH13" s="157"/>
      <c r="BI13" s="157"/>
    </row>
    <row r="14" spans="1:234" ht="12" customHeight="1" outlineLevel="3">
      <c r="A14" s="145"/>
      <c r="B14" s="145"/>
      <c r="C14" s="145">
        <v>4</v>
      </c>
      <c r="D14" s="146" t="s">
        <v>1602</v>
      </c>
      <c r="E14" s="233"/>
      <c r="F14" s="147"/>
      <c r="G14" s="233"/>
      <c r="H14" s="147" t="s">
        <v>1582</v>
      </c>
      <c r="I14" s="147"/>
      <c r="J14" s="147"/>
      <c r="K14" s="147"/>
      <c r="L14" s="147"/>
      <c r="M14" s="147"/>
      <c r="N14" s="147"/>
      <c r="O14" s="147"/>
      <c r="P14" s="148">
        <v>44375</v>
      </c>
      <c r="Q14" s="148">
        <v>44387</v>
      </c>
      <c r="R14" s="149"/>
      <c r="S14" s="150">
        <v>10</v>
      </c>
      <c r="T14" s="150">
        <v>0</v>
      </c>
      <c r="U14" s="150">
        <v>10</v>
      </c>
      <c r="V14" s="150">
        <v>0</v>
      </c>
      <c r="W14" s="148"/>
      <c r="X14" s="148"/>
      <c r="Y14" s="151"/>
      <c r="Z14" s="152">
        <v>0</v>
      </c>
      <c r="AA14" s="150"/>
      <c r="AB14" s="149"/>
      <c r="AC14" s="153"/>
      <c r="AD14" s="154">
        <v>0</v>
      </c>
      <c r="AE14" s="185">
        <v>0</v>
      </c>
      <c r="AF14" s="156"/>
      <c r="AG14" s="157"/>
      <c r="AH14" s="157"/>
      <c r="AI14" s="157"/>
      <c r="AJ14" s="157"/>
      <c r="AK14" s="157"/>
      <c r="AL14" s="157"/>
      <c r="AM14" s="157"/>
      <c r="AN14" s="157"/>
      <c r="AO14" s="157"/>
      <c r="AP14" s="157"/>
      <c r="AQ14" s="157"/>
      <c r="AR14" s="157"/>
      <c r="AS14" s="157"/>
      <c r="AT14" s="157"/>
      <c r="AU14" s="157"/>
      <c r="AV14" s="157"/>
      <c r="AW14" s="157"/>
      <c r="AX14" s="157"/>
      <c r="AY14" s="157" t="str">
        <f>" " &amp; TEXT(AE14,"#0.00%") &amp; " " &amp; "INDUSTRY INSIGHT TEST&amp;MODIFY" &amp; " " &amp; IF(P14="","",TEXT(P14,"M/D-")) &amp; IF(Q14="","",TEXT(Q14,"M/D")) &amp; " "</f>
        <v xml:space="preserve"> 0.00% INDUSTRY INSIGHT TEST&amp;MODIFY 6/28-7/10 </v>
      </c>
      <c r="AZ14" s="157"/>
      <c r="BA14" s="157"/>
      <c r="BB14" s="157"/>
      <c r="BC14" s="157"/>
      <c r="BD14" s="157"/>
      <c r="BE14" s="157"/>
      <c r="BF14" s="157"/>
      <c r="BG14" s="157"/>
      <c r="BH14" s="157"/>
      <c r="BI14" s="157"/>
    </row>
    <row r="15" spans="1:234" ht="12" customHeight="1" outlineLevel="2">
      <c r="A15" s="145"/>
      <c r="B15" s="145" t="s">
        <v>1508</v>
      </c>
      <c r="C15" s="145">
        <v>3</v>
      </c>
      <c r="D15" s="146" t="s">
        <v>1593</v>
      </c>
      <c r="E15" s="233"/>
      <c r="F15" s="233"/>
      <c r="G15" s="233" t="s">
        <v>1566</v>
      </c>
      <c r="H15" s="233"/>
      <c r="I15" s="233"/>
      <c r="J15" s="233"/>
      <c r="K15" s="233"/>
      <c r="L15" s="233"/>
      <c r="M15" s="147"/>
      <c r="N15" s="147"/>
      <c r="O15" s="147"/>
      <c r="P15" s="305">
        <v>44388</v>
      </c>
      <c r="Q15" s="305">
        <v>44416</v>
      </c>
      <c r="R15" s="149"/>
      <c r="S15" s="150">
        <v>20</v>
      </c>
      <c r="T15" s="150">
        <v>0</v>
      </c>
      <c r="U15" s="150">
        <v>20</v>
      </c>
      <c r="V15" s="150">
        <v>0</v>
      </c>
      <c r="W15" s="148"/>
      <c r="X15" s="148"/>
      <c r="Y15" s="151">
        <v>0</v>
      </c>
      <c r="Z15" s="152">
        <v>0</v>
      </c>
      <c r="AA15" s="150"/>
      <c r="AB15" s="149"/>
      <c r="AC15" s="153"/>
      <c r="AD15" s="154">
        <v>0</v>
      </c>
      <c r="AE15" s="213">
        <v>0</v>
      </c>
      <c r="AF15" s="156"/>
      <c r="AG15" s="157"/>
      <c r="AH15" s="157"/>
      <c r="AI15" s="157"/>
      <c r="AJ15" s="157"/>
      <c r="AK15" s="157"/>
      <c r="AL15" s="157"/>
      <c r="AM15" s="157"/>
      <c r="AN15" s="157"/>
      <c r="AO15" s="157"/>
      <c r="AP15" s="157"/>
      <c r="AQ15" s="157"/>
      <c r="AR15" s="157"/>
      <c r="AS15" s="157"/>
      <c r="AT15" s="157"/>
      <c r="AU15" s="157"/>
      <c r="AV15" s="157"/>
      <c r="AW15" s="157"/>
      <c r="AX15" s="157"/>
      <c r="AY15" s="157"/>
      <c r="AZ15" s="157"/>
      <c r="BA15" s="157" t="str">
        <f>"" &amp; TEXT(AE15,"#0.00%") &amp; " "</f>
        <v xml:space="preserve">0.00% </v>
      </c>
      <c r="BB15" s="157"/>
      <c r="BC15" s="157"/>
      <c r="BD15" s="157"/>
      <c r="BE15" s="157" t="str">
        <f>" " &amp; "AMAM" &amp; " " &amp; IF(P15="","",TEXT(P15,"M/D-")) &amp; IF(Q15="","",TEXT(Q15,"M/D")) &amp; " "</f>
        <v xml:space="preserve"> AMAM 7/11-8/8 </v>
      </c>
      <c r="BF15" s="157"/>
      <c r="BG15" s="157"/>
      <c r="BH15" s="157"/>
      <c r="BI15" s="157"/>
    </row>
    <row r="16" spans="1:234" ht="12" customHeight="1" outlineLevel="3">
      <c r="A16" s="145"/>
      <c r="B16" s="145"/>
      <c r="C16" s="145">
        <v>4</v>
      </c>
      <c r="D16" s="146" t="s">
        <v>1617</v>
      </c>
      <c r="E16" s="147"/>
      <c r="F16" s="147"/>
      <c r="G16" s="233"/>
      <c r="H16" s="147" t="s">
        <v>1583</v>
      </c>
      <c r="I16" s="147"/>
      <c r="J16" s="147"/>
      <c r="K16" s="147"/>
      <c r="L16" s="147"/>
      <c r="M16" s="147"/>
      <c r="N16" s="147"/>
      <c r="O16" s="147"/>
      <c r="P16" s="148">
        <v>44388</v>
      </c>
      <c r="Q16" s="148">
        <v>44402</v>
      </c>
      <c r="R16" s="149"/>
      <c r="S16" s="150">
        <v>10</v>
      </c>
      <c r="T16" s="150">
        <v>0</v>
      </c>
      <c r="U16" s="150">
        <v>10</v>
      </c>
      <c r="V16" s="150">
        <v>0</v>
      </c>
      <c r="W16" s="148"/>
      <c r="X16" s="148"/>
      <c r="Y16" s="151"/>
      <c r="Z16" s="152">
        <v>0</v>
      </c>
      <c r="AA16" s="150"/>
      <c r="AB16" s="149"/>
      <c r="AC16" s="153"/>
      <c r="AD16" s="154">
        <v>0</v>
      </c>
      <c r="AE16" s="185">
        <v>0</v>
      </c>
      <c r="AF16" s="156"/>
      <c r="AG16" s="157"/>
      <c r="AH16" s="157"/>
      <c r="AI16" s="157"/>
      <c r="AJ16" s="157"/>
      <c r="AK16" s="157"/>
      <c r="AL16" s="157"/>
      <c r="AM16" s="157"/>
      <c r="AN16" s="157"/>
      <c r="AO16" s="157"/>
      <c r="AP16" s="157"/>
      <c r="AQ16" s="157"/>
      <c r="AR16" s="157"/>
      <c r="AS16" s="157"/>
      <c r="AT16" s="157"/>
      <c r="AU16" s="157"/>
      <c r="AV16" s="157"/>
      <c r="AW16" s="157"/>
      <c r="AX16" s="157"/>
      <c r="AY16" s="157"/>
      <c r="AZ16" s="157"/>
      <c r="BA16" s="157" t="str">
        <f>"" &amp; TEXT(AE16,"#0.00%") &amp; " " &amp; "AMAM 구현" &amp; " " &amp; IF(P16="","",TEXT(P16,"M/D-")) &amp; IF(Q16="","",TEXT(Q16,"M/D")) &amp; " "</f>
        <v xml:space="preserve">0.00% AMAM 구현 7/11-7/25 </v>
      </c>
      <c r="BB16" s="157"/>
      <c r="BC16" s="157"/>
      <c r="BD16" s="157"/>
      <c r="BE16" s="157"/>
      <c r="BF16" s="157"/>
      <c r="BG16" s="157"/>
      <c r="BH16" s="157"/>
      <c r="BI16" s="157"/>
    </row>
    <row r="17" spans="1:61" ht="12" customHeight="1" outlineLevel="3">
      <c r="A17" s="145"/>
      <c r="B17" s="145"/>
      <c r="C17" s="145">
        <v>4</v>
      </c>
      <c r="D17" s="146" t="s">
        <v>1618</v>
      </c>
      <c r="E17" s="147"/>
      <c r="F17" s="147"/>
      <c r="G17" s="233"/>
      <c r="H17" s="147" t="s">
        <v>1584</v>
      </c>
      <c r="I17" s="147"/>
      <c r="J17" s="147"/>
      <c r="K17" s="147"/>
      <c r="L17" s="147"/>
      <c r="M17" s="147"/>
      <c r="N17" s="147"/>
      <c r="O17" s="147"/>
      <c r="P17" s="148">
        <v>44403</v>
      </c>
      <c r="Q17" s="148">
        <v>44416</v>
      </c>
      <c r="R17" s="149"/>
      <c r="S17" s="150">
        <v>10</v>
      </c>
      <c r="T17" s="150">
        <v>0</v>
      </c>
      <c r="U17" s="150">
        <v>10</v>
      </c>
      <c r="V17" s="150">
        <v>0</v>
      </c>
      <c r="W17" s="148"/>
      <c r="X17" s="148"/>
      <c r="Y17" s="151"/>
      <c r="Z17" s="152">
        <v>0</v>
      </c>
      <c r="AA17" s="150"/>
      <c r="AB17" s="149"/>
      <c r="AC17" s="153"/>
      <c r="AD17" s="154">
        <v>0</v>
      </c>
      <c r="AE17" s="185">
        <v>0</v>
      </c>
      <c r="AF17" s="156"/>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t="str">
        <f>" " &amp; TEXT(AE17,"#0.00%") &amp; " " &amp; "AMAM TEST&amp;MODIFY" &amp; " " &amp; IF(P17="","",TEXT(P17,"M/D-")) &amp; IF(Q17="","",TEXT(Q17,"M/D")) &amp; " "</f>
        <v xml:space="preserve"> 0.00% AMAM TEST&amp;MODIFY 7/26-8/8 </v>
      </c>
      <c r="BD17" s="157"/>
      <c r="BE17" s="157"/>
      <c r="BF17" s="157"/>
      <c r="BG17" s="157"/>
      <c r="BH17" s="157"/>
      <c r="BI17" s="157"/>
    </row>
    <row r="18" spans="1:61" ht="12" customHeight="1" outlineLevel="2">
      <c r="A18" s="145"/>
      <c r="B18" s="145" t="s">
        <v>1508</v>
      </c>
      <c r="C18" s="145">
        <v>3</v>
      </c>
      <c r="D18" s="146" t="s">
        <v>1594</v>
      </c>
      <c r="E18" s="147"/>
      <c r="F18" s="233"/>
      <c r="G18" s="233" t="s">
        <v>1603</v>
      </c>
      <c r="H18" s="233"/>
      <c r="I18" s="233"/>
      <c r="J18" s="233"/>
      <c r="K18" s="233"/>
      <c r="L18" s="233"/>
      <c r="M18" s="233"/>
      <c r="N18" s="233"/>
      <c r="O18" s="233"/>
      <c r="P18" s="305">
        <v>44417</v>
      </c>
      <c r="Q18" s="305">
        <v>44439</v>
      </c>
      <c r="R18" s="149"/>
      <c r="S18" s="150">
        <v>17</v>
      </c>
      <c r="T18" s="150">
        <v>0</v>
      </c>
      <c r="U18" s="150">
        <v>17</v>
      </c>
      <c r="V18" s="150">
        <v>0</v>
      </c>
      <c r="W18" s="148"/>
      <c r="X18" s="148"/>
      <c r="Y18" s="151">
        <v>0</v>
      </c>
      <c r="Z18" s="152">
        <v>0</v>
      </c>
      <c r="AA18" s="150"/>
      <c r="AB18" s="149"/>
      <c r="AC18" s="153"/>
      <c r="AD18" s="154">
        <v>0</v>
      </c>
      <c r="AE18" s="213">
        <v>0</v>
      </c>
      <c r="AF18" s="156"/>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t="str">
        <f>" " &amp; TEXT(AE18,"#0.00%") &amp; " "</f>
        <v xml:space="preserve"> 0.00% </v>
      </c>
      <c r="BF18" s="157"/>
      <c r="BG18" s="157"/>
      <c r="BH18" s="157" t="str">
        <f>"   " &amp; "SURVEY" &amp; " " &amp; IF(P18="","",TEXT(P18,"M/D-")) &amp; IF(Q18="","",TEXT(Q18,"M/D")) &amp; " "</f>
        <v xml:space="preserve">   SURVEY 8/9-8/31 </v>
      </c>
      <c r="BI18" s="157"/>
    </row>
    <row r="19" spans="1:61" ht="12" customHeight="1" outlineLevel="3">
      <c r="A19" s="145"/>
      <c r="B19" s="145"/>
      <c r="C19" s="145">
        <v>4</v>
      </c>
      <c r="D19" s="146" t="s">
        <v>1619</v>
      </c>
      <c r="E19" s="147"/>
      <c r="F19" s="147"/>
      <c r="G19" s="233"/>
      <c r="H19" s="147" t="s">
        <v>1585</v>
      </c>
      <c r="I19" s="147"/>
      <c r="J19" s="147"/>
      <c r="K19" s="147"/>
      <c r="L19" s="147"/>
      <c r="M19" s="147"/>
      <c r="N19" s="147"/>
      <c r="O19" s="147"/>
      <c r="P19" s="148">
        <v>44417</v>
      </c>
      <c r="Q19" s="148">
        <v>44430</v>
      </c>
      <c r="R19" s="149"/>
      <c r="S19" s="150">
        <v>10</v>
      </c>
      <c r="T19" s="150">
        <v>0</v>
      </c>
      <c r="U19" s="150">
        <v>10</v>
      </c>
      <c r="V19" s="150">
        <v>0</v>
      </c>
      <c r="W19" s="148"/>
      <c r="X19" s="148"/>
      <c r="Y19" s="151"/>
      <c r="Z19" s="152">
        <v>0</v>
      </c>
      <c r="AA19" s="150"/>
      <c r="AB19" s="149"/>
      <c r="AC19" s="153"/>
      <c r="AD19" s="154">
        <v>0</v>
      </c>
      <c r="AE19" s="185">
        <v>0</v>
      </c>
      <c r="AF19" s="156"/>
      <c r="AG19" s="157"/>
      <c r="AH19" s="157"/>
      <c r="AI19" s="157"/>
      <c r="AJ19" s="157"/>
      <c r="AK19" s="157"/>
      <c r="AL19" s="157"/>
      <c r="AM19" s="157"/>
      <c r="AN19" s="157"/>
      <c r="AO19" s="157"/>
      <c r="AP19" s="157"/>
      <c r="AQ19" s="157"/>
      <c r="AR19" s="157"/>
      <c r="AS19" s="157"/>
      <c r="AT19" s="157"/>
      <c r="AU19" s="157"/>
      <c r="AV19" s="157"/>
      <c r="AW19" s="157"/>
      <c r="AX19" s="157"/>
      <c r="AY19" s="157"/>
      <c r="AZ19" s="157"/>
      <c r="BA19" s="157"/>
      <c r="BB19" s="157"/>
      <c r="BC19" s="157"/>
      <c r="BD19" s="157"/>
      <c r="BE19" s="157" t="str">
        <f>" " &amp; TEXT(AE19,"#0.00%") &amp; " " &amp; "SURVEY 구현" &amp; " " &amp; IF(P19="","",TEXT(P19,"M/D-")) &amp; IF(Q19="","",TEXT(Q19,"M/D")) &amp; " "</f>
        <v xml:space="preserve"> 0.00% SURVEY 구현 8/9-8/22 </v>
      </c>
      <c r="BF19" s="157"/>
      <c r="BG19" s="157"/>
      <c r="BH19" s="157"/>
      <c r="BI19" s="157"/>
    </row>
    <row r="20" spans="1:61" ht="12" customHeight="1" outlineLevel="3">
      <c r="A20" s="145"/>
      <c r="B20" s="145"/>
      <c r="C20" s="145">
        <v>4</v>
      </c>
      <c r="D20" s="146" t="s">
        <v>1620</v>
      </c>
      <c r="E20" s="147"/>
      <c r="F20" s="147"/>
      <c r="G20" s="233"/>
      <c r="H20" s="147" t="s">
        <v>1586</v>
      </c>
      <c r="I20" s="147"/>
      <c r="J20" s="147"/>
      <c r="K20" s="147"/>
      <c r="L20" s="147"/>
      <c r="M20" s="147"/>
      <c r="N20" s="147"/>
      <c r="O20" s="147"/>
      <c r="P20" s="148">
        <v>44431</v>
      </c>
      <c r="Q20" s="148">
        <v>44439</v>
      </c>
      <c r="R20" s="149"/>
      <c r="S20" s="150">
        <v>7</v>
      </c>
      <c r="T20" s="150">
        <v>0</v>
      </c>
      <c r="U20" s="150">
        <v>7</v>
      </c>
      <c r="V20" s="150">
        <v>0</v>
      </c>
      <c r="W20" s="148"/>
      <c r="X20" s="148"/>
      <c r="Y20" s="151"/>
      <c r="Z20" s="152">
        <v>0</v>
      </c>
      <c r="AA20" s="150"/>
      <c r="AB20" s="149"/>
      <c r="AC20" s="153"/>
      <c r="AD20" s="154">
        <v>0</v>
      </c>
      <c r="AE20" s="185">
        <v>0</v>
      </c>
      <c r="AF20" s="156"/>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t="str">
        <f>" " &amp; TEXT(AE20,"#0.00%") &amp; " " &amp; "SURVEY TEST&amp;MODIFY" &amp; " " &amp; IF(P20="","",TEXT(P20,"M/D-")) &amp; IF(Q20="","",TEXT(Q20,"M/D")) &amp; " "</f>
        <v xml:space="preserve"> 0.00% SURVEY TEST&amp;MODIFY 8/23-8/31 </v>
      </c>
      <c r="BH20" s="157"/>
      <c r="BI20" s="157"/>
    </row>
    <row r="21" spans="1:61" ht="12" customHeight="1" outlineLevel="1">
      <c r="A21" s="145"/>
      <c r="B21" s="145" t="s">
        <v>1508</v>
      </c>
      <c r="C21" s="145">
        <v>2</v>
      </c>
      <c r="D21" s="146" t="s">
        <v>1102</v>
      </c>
      <c r="E21" s="147"/>
      <c r="F21" s="147" t="s">
        <v>1595</v>
      </c>
      <c r="G21" s="147"/>
      <c r="H21" s="147"/>
      <c r="I21" s="147"/>
      <c r="J21" s="147"/>
      <c r="K21" s="147"/>
      <c r="L21" s="147"/>
      <c r="M21" s="147"/>
      <c r="N21" s="147"/>
      <c r="O21" s="147"/>
      <c r="P21" s="148">
        <v>44242</v>
      </c>
      <c r="Q21" s="148">
        <v>44424</v>
      </c>
      <c r="R21" s="149"/>
      <c r="S21" s="150">
        <v>127</v>
      </c>
      <c r="T21" s="150">
        <v>3</v>
      </c>
      <c r="U21" s="150">
        <v>128</v>
      </c>
      <c r="V21" s="150">
        <v>3</v>
      </c>
      <c r="W21" s="148"/>
      <c r="X21" s="148"/>
      <c r="Y21" s="151">
        <v>0</v>
      </c>
      <c r="Z21" s="152">
        <v>0</v>
      </c>
      <c r="AA21" s="150"/>
      <c r="AB21" s="149"/>
      <c r="AC21" s="153"/>
      <c r="AD21" s="154">
        <v>2.3622047244094488E-2</v>
      </c>
      <c r="AE21" s="304">
        <v>0</v>
      </c>
      <c r="AF21" s="156" t="str">
        <f>" " &amp; TEXT(AE21,"#0.00%") &amp; " "</f>
        <v xml:space="preserve"> 0.00% </v>
      </c>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t="str">
        <f>"  " &amp; "ADD INTELLIGENT FUNCTION" &amp; " " &amp; IF(P21="","",TEXT(P21,"M/D-")) &amp; IF(Q21="","",TEXT(Q21,"M/D")) &amp; " "</f>
        <v xml:space="preserve">  ADD INTELLIGENT FUNCTION 2/15-8/16 </v>
      </c>
      <c r="BG21" s="157"/>
      <c r="BH21" s="157"/>
      <c r="BI21" s="157"/>
    </row>
    <row r="22" spans="1:61" ht="12" customHeight="1" outlineLevel="2">
      <c r="A22" s="145"/>
      <c r="B22" s="145" t="s">
        <v>1508</v>
      </c>
      <c r="C22" s="145">
        <v>3</v>
      </c>
      <c r="D22" s="146" t="s">
        <v>1103</v>
      </c>
      <c r="E22" s="147"/>
      <c r="F22" s="147"/>
      <c r="G22" s="233" t="s">
        <v>1604</v>
      </c>
      <c r="H22" s="233"/>
      <c r="I22" s="233"/>
      <c r="J22" s="233"/>
      <c r="K22" s="233"/>
      <c r="L22" s="233"/>
      <c r="M22" s="233"/>
      <c r="N22" s="233"/>
      <c r="O22" s="233"/>
      <c r="P22" s="305">
        <v>44242</v>
      </c>
      <c r="Q22" s="305">
        <v>44277</v>
      </c>
      <c r="R22" s="149"/>
      <c r="S22" s="150">
        <v>25</v>
      </c>
      <c r="T22" s="150">
        <v>3</v>
      </c>
      <c r="U22" s="150">
        <v>25</v>
      </c>
      <c r="V22" s="150">
        <v>3</v>
      </c>
      <c r="W22" s="148"/>
      <c r="X22" s="148"/>
      <c r="Y22" s="151">
        <v>0</v>
      </c>
      <c r="Z22" s="152">
        <v>0</v>
      </c>
      <c r="AA22" s="150"/>
      <c r="AB22" s="149"/>
      <c r="AC22" s="153"/>
      <c r="AD22" s="154">
        <v>0.12</v>
      </c>
      <c r="AE22" s="304">
        <v>0</v>
      </c>
      <c r="AF22" s="156" t="str">
        <f>" " &amp; TEXT(AE22,"#0.00%") &amp; " "</f>
        <v xml:space="preserve"> 0.00% </v>
      </c>
      <c r="AG22" s="157"/>
      <c r="AH22" s="157"/>
      <c r="AI22" s="157"/>
      <c r="AJ22" s="157"/>
      <c r="AK22" s="157" t="str">
        <f>"  " &amp; "CHATBOT" &amp; " " &amp; IF(P22="","",TEXT(P22,"M/D-")) &amp; IF(Q22="","",TEXT(Q22,"M/D")) &amp; " "</f>
        <v xml:space="preserve">  CHATBOT 2/15-3/22 </v>
      </c>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ht="12" customHeight="1" outlineLevel="3">
      <c r="A23" s="145"/>
      <c r="B23" s="145"/>
      <c r="C23" s="145">
        <v>4</v>
      </c>
      <c r="D23" s="146" t="s">
        <v>1569</v>
      </c>
      <c r="E23" s="147"/>
      <c r="F23" s="147"/>
      <c r="G23" s="233"/>
      <c r="H23" s="147" t="s">
        <v>1596</v>
      </c>
      <c r="I23" s="147"/>
      <c r="J23" s="147"/>
      <c r="K23" s="147"/>
      <c r="L23" s="147"/>
      <c r="M23" s="147"/>
      <c r="N23" s="147"/>
      <c r="O23" s="147"/>
      <c r="P23" s="148">
        <v>44242</v>
      </c>
      <c r="Q23" s="148">
        <v>44255</v>
      </c>
      <c r="R23" s="149"/>
      <c r="S23" s="150">
        <v>10</v>
      </c>
      <c r="T23" s="150">
        <v>3</v>
      </c>
      <c r="U23" s="150">
        <v>10</v>
      </c>
      <c r="V23" s="150">
        <v>3</v>
      </c>
      <c r="W23" s="148"/>
      <c r="X23" s="148"/>
      <c r="Y23" s="151"/>
      <c r="Z23" s="152">
        <v>0</v>
      </c>
      <c r="AA23" s="150"/>
      <c r="AB23" s="149"/>
      <c r="AC23" s="153"/>
      <c r="AD23" s="154">
        <v>0.3</v>
      </c>
      <c r="AE23" s="303">
        <v>0</v>
      </c>
      <c r="AF23" s="156" t="str">
        <f>" " &amp; TEXT(AE23,"#0.00%") &amp; " " &amp; "CHATBOT SYSTEM STUDY" &amp; " " &amp; IF(P23="","",TEXT(P23,"M/D-")) &amp; IF(Q23="","",TEXT(Q23,"M/D")) &amp; " "</f>
        <v xml:space="preserve"> 0.00% CHATBOT SYSTEM STUDY 2/15-2/28 </v>
      </c>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ht="12" customHeight="1" outlineLevel="3">
      <c r="A24" s="145"/>
      <c r="B24" s="145"/>
      <c r="C24" s="145">
        <v>4</v>
      </c>
      <c r="D24" s="146" t="s">
        <v>1570</v>
      </c>
      <c r="E24" s="147"/>
      <c r="F24" s="147"/>
      <c r="G24" s="233"/>
      <c r="H24" s="147" t="s">
        <v>1597</v>
      </c>
      <c r="I24" s="147"/>
      <c r="J24" s="147"/>
      <c r="K24" s="147"/>
      <c r="L24" s="147"/>
      <c r="M24" s="147"/>
      <c r="N24" s="147"/>
      <c r="O24" s="147"/>
      <c r="P24" s="148">
        <v>44256</v>
      </c>
      <c r="Q24" s="148">
        <v>44270</v>
      </c>
      <c r="R24" s="149"/>
      <c r="S24" s="150">
        <v>10</v>
      </c>
      <c r="T24" s="150">
        <v>0</v>
      </c>
      <c r="U24" s="150">
        <v>10</v>
      </c>
      <c r="V24" s="150">
        <v>0</v>
      </c>
      <c r="W24" s="148"/>
      <c r="X24" s="148"/>
      <c r="Y24" s="151"/>
      <c r="Z24" s="152">
        <v>0</v>
      </c>
      <c r="AA24" s="150"/>
      <c r="AB24" s="149"/>
      <c r="AC24" s="153"/>
      <c r="AD24" s="154">
        <v>0</v>
      </c>
      <c r="AE24" s="185">
        <v>0</v>
      </c>
      <c r="AF24" s="156"/>
      <c r="AG24" s="157"/>
      <c r="AH24" s="157" t="str">
        <f>" " &amp; TEXT(AE24,"#0.00%") &amp; " " &amp; "CHATBOT 구현" &amp; " " &amp; IF(P24="","",TEXT(P24,"M/D-")) &amp; IF(Q24="","",TEXT(Q24,"M/D")) &amp; " "</f>
        <v xml:space="preserve"> 0.00% CHATBOT 구현 3/1-3/15 </v>
      </c>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ht="12" customHeight="1" outlineLevel="3">
      <c r="A25" s="145"/>
      <c r="B25" s="145"/>
      <c r="C25" s="145">
        <v>4</v>
      </c>
      <c r="D25" s="146" t="s">
        <v>1571</v>
      </c>
      <c r="E25" s="147"/>
      <c r="F25" s="147"/>
      <c r="G25" s="233"/>
      <c r="H25" s="147" t="s">
        <v>1598</v>
      </c>
      <c r="I25" s="147"/>
      <c r="J25" s="147"/>
      <c r="K25" s="147"/>
      <c r="L25" s="147"/>
      <c r="M25" s="147"/>
      <c r="N25" s="147"/>
      <c r="O25" s="147"/>
      <c r="P25" s="148">
        <v>44271</v>
      </c>
      <c r="Q25" s="148">
        <v>44277</v>
      </c>
      <c r="R25" s="149"/>
      <c r="S25" s="150">
        <v>5</v>
      </c>
      <c r="T25" s="150">
        <v>0</v>
      </c>
      <c r="U25" s="150">
        <v>5</v>
      </c>
      <c r="V25" s="150">
        <v>0</v>
      </c>
      <c r="W25" s="148"/>
      <c r="X25" s="148"/>
      <c r="Y25" s="151"/>
      <c r="Z25" s="152">
        <v>0</v>
      </c>
      <c r="AA25" s="150"/>
      <c r="AB25" s="149"/>
      <c r="AC25" s="153"/>
      <c r="AD25" s="154">
        <v>0</v>
      </c>
      <c r="AE25" s="185">
        <v>0</v>
      </c>
      <c r="AF25" s="156"/>
      <c r="AG25" s="157"/>
      <c r="AH25" s="157"/>
      <c r="AI25" s="157"/>
      <c r="AJ25" s="157" t="str">
        <f>"  " &amp; TEXT(AE25,"#0.00%") &amp; " " &amp; "CHATBOT TEST&amp;MODIFY" &amp; " " &amp; IF(P25="","",TEXT(P25,"M/D-")) &amp; IF(Q25="","",TEXT(Q25,"M/D")) &amp; " "</f>
        <v xml:space="preserve">  0.00% CHATBOT TEST&amp;MODIFY 3/16-3/22 </v>
      </c>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ht="12" customHeight="1" outlineLevel="2">
      <c r="A26" s="145"/>
      <c r="B26" s="145" t="s">
        <v>1508</v>
      </c>
      <c r="C26" s="145">
        <v>3</v>
      </c>
      <c r="D26" s="146" t="s">
        <v>1124</v>
      </c>
      <c r="E26" s="147"/>
      <c r="F26" s="147"/>
      <c r="G26" s="147" t="s">
        <v>1605</v>
      </c>
      <c r="H26" s="147"/>
      <c r="I26" s="147"/>
      <c r="J26" s="147"/>
      <c r="K26" s="147"/>
      <c r="L26" s="147"/>
      <c r="M26" s="147"/>
      <c r="N26" s="147"/>
      <c r="O26" s="147"/>
      <c r="P26" s="148">
        <v>44278</v>
      </c>
      <c r="Q26" s="148">
        <v>44324</v>
      </c>
      <c r="R26" s="149"/>
      <c r="S26" s="150">
        <v>32</v>
      </c>
      <c r="T26" s="150">
        <v>0</v>
      </c>
      <c r="U26" s="150">
        <v>33</v>
      </c>
      <c r="V26" s="150">
        <v>0</v>
      </c>
      <c r="W26" s="148"/>
      <c r="X26" s="148"/>
      <c r="Y26" s="151">
        <v>0</v>
      </c>
      <c r="Z26" s="152">
        <v>0</v>
      </c>
      <c r="AA26" s="150"/>
      <c r="AB26" s="149"/>
      <c r="AC26" s="153"/>
      <c r="AD26" s="154">
        <v>0</v>
      </c>
      <c r="AE26" s="213">
        <v>0</v>
      </c>
      <c r="AF26" s="156"/>
      <c r="AG26" s="157"/>
      <c r="AH26" s="157"/>
      <c r="AI26" s="157"/>
      <c r="AJ26" s="157"/>
      <c r="AK26" s="157" t="str">
        <f>"  " &amp; TEXT(AE26,"#0.00%") &amp; " "</f>
        <v xml:space="preserve">  0.00% </v>
      </c>
      <c r="AL26" s="157"/>
      <c r="AM26" s="157"/>
      <c r="AN26" s="157"/>
      <c r="AO26" s="157"/>
      <c r="AP26" s="157"/>
      <c r="AQ26" s="157"/>
      <c r="AR26" s="157" t="str">
        <f>"" &amp; "개인 맞춤형 시간표 서비스" &amp; " " &amp; IF(P26="","",TEXT(P26,"M/D-")) &amp; IF(Q26="","",TEXT(Q26,"M/D")) &amp; " "</f>
        <v xml:space="preserve">개인 맞춤형 시간표 서비스 3/23-5/8 </v>
      </c>
      <c r="AS26" s="157"/>
      <c r="AT26" s="157"/>
      <c r="AU26" s="157"/>
      <c r="AV26" s="157"/>
      <c r="AW26" s="157"/>
      <c r="AX26" s="157"/>
      <c r="AY26" s="157"/>
      <c r="AZ26" s="157"/>
      <c r="BA26" s="157"/>
      <c r="BB26" s="157"/>
      <c r="BC26" s="157"/>
      <c r="BD26" s="157"/>
      <c r="BE26" s="157"/>
      <c r="BF26" s="157"/>
      <c r="BG26" s="157"/>
      <c r="BH26" s="157"/>
      <c r="BI26" s="157"/>
    </row>
    <row r="27" spans="1:61" ht="12" customHeight="1" outlineLevel="3">
      <c r="A27" s="145"/>
      <c r="B27" s="145"/>
      <c r="C27" s="145">
        <v>4</v>
      </c>
      <c r="D27" s="146" t="s">
        <v>1621</v>
      </c>
      <c r="E27" s="147"/>
      <c r="F27" s="147"/>
      <c r="G27" s="147"/>
      <c r="H27" s="147" t="s">
        <v>1606</v>
      </c>
      <c r="I27" s="147"/>
      <c r="J27" s="147"/>
      <c r="K27" s="147"/>
      <c r="L27" s="147"/>
      <c r="M27" s="147"/>
      <c r="N27" s="147"/>
      <c r="O27" s="147"/>
      <c r="P27" s="148">
        <v>44278</v>
      </c>
      <c r="Q27" s="148">
        <v>44293</v>
      </c>
      <c r="R27" s="149"/>
      <c r="S27" s="150">
        <v>12</v>
      </c>
      <c r="T27" s="150">
        <v>0</v>
      </c>
      <c r="U27" s="150">
        <v>12</v>
      </c>
      <c r="V27" s="150">
        <v>0</v>
      </c>
      <c r="W27" s="148"/>
      <c r="X27" s="148"/>
      <c r="Y27" s="151"/>
      <c r="Z27" s="152">
        <v>0</v>
      </c>
      <c r="AA27" s="150"/>
      <c r="AB27" s="149"/>
      <c r="AC27" s="153"/>
      <c r="AD27" s="154">
        <v>0</v>
      </c>
      <c r="AE27" s="185">
        <v>0</v>
      </c>
      <c r="AF27" s="156"/>
      <c r="AG27" s="157"/>
      <c r="AH27" s="157"/>
      <c r="AI27" s="157"/>
      <c r="AJ27" s="157"/>
      <c r="AK27" s="157" t="str">
        <f>"  " &amp; TEXT(AE27,"#0.00%") &amp; " " &amp; "기획 검토 및 스토리보드,화면설계서 작성" &amp; " " &amp; IF(P27="","",TEXT(P27,"M/D-")) &amp; IF(Q27="","",TEXT(Q27,"M/D")) &amp; " "</f>
        <v xml:space="preserve">  0.00% 기획 검토 및 스토리보드,화면설계서 작성 3/23-4/7 </v>
      </c>
      <c r="AL27" s="157"/>
      <c r="AM27" s="157"/>
      <c r="AN27" s="157"/>
      <c r="AO27" s="157"/>
      <c r="AP27" s="157"/>
      <c r="AQ27" s="157"/>
      <c r="AR27" s="157"/>
      <c r="AS27" s="157"/>
      <c r="AT27" s="157"/>
      <c r="AU27" s="157"/>
      <c r="AV27" s="157"/>
      <c r="AW27" s="157"/>
      <c r="AX27" s="157"/>
      <c r="AY27" s="157"/>
      <c r="AZ27" s="157"/>
      <c r="BA27" s="157"/>
      <c r="BB27" s="157"/>
      <c r="BC27" s="157"/>
      <c r="BD27" s="157"/>
      <c r="BE27" s="157"/>
      <c r="BF27" s="157"/>
      <c r="BG27" s="157"/>
      <c r="BH27" s="157"/>
      <c r="BI27" s="157"/>
    </row>
    <row r="28" spans="1:61" ht="12" customHeight="1" outlineLevel="3">
      <c r="A28" s="145"/>
      <c r="B28" s="145"/>
      <c r="C28" s="145">
        <v>4</v>
      </c>
      <c r="D28" s="146" t="s">
        <v>1622</v>
      </c>
      <c r="E28" s="147"/>
      <c r="F28" s="147"/>
      <c r="G28" s="147"/>
      <c r="H28" s="147" t="s">
        <v>1607</v>
      </c>
      <c r="I28" s="147"/>
      <c r="J28" s="147"/>
      <c r="K28" s="147"/>
      <c r="L28" s="147"/>
      <c r="M28" s="147"/>
      <c r="N28" s="147"/>
      <c r="O28" s="147"/>
      <c r="P28" s="148">
        <v>44295</v>
      </c>
      <c r="Q28" s="148">
        <v>44314</v>
      </c>
      <c r="R28" s="149"/>
      <c r="S28" s="150">
        <v>14</v>
      </c>
      <c r="T28" s="150">
        <v>0</v>
      </c>
      <c r="U28" s="150">
        <v>14</v>
      </c>
      <c r="V28" s="150">
        <v>0</v>
      </c>
      <c r="W28" s="148"/>
      <c r="X28" s="148"/>
      <c r="Y28" s="151"/>
      <c r="Z28" s="152">
        <v>0</v>
      </c>
      <c r="AA28" s="150"/>
      <c r="AB28" s="149"/>
      <c r="AC28" s="153"/>
      <c r="AD28" s="154">
        <v>0</v>
      </c>
      <c r="AE28" s="185">
        <v>0</v>
      </c>
      <c r="AF28" s="156"/>
      <c r="AG28" s="157"/>
      <c r="AH28" s="157"/>
      <c r="AI28" s="157"/>
      <c r="AJ28" s="157"/>
      <c r="AK28" s="157"/>
      <c r="AL28" s="157"/>
      <c r="AM28" s="157" t="str">
        <f>"     " &amp; TEXT(AE28,"#0.00%") &amp; " " &amp; "개인 맞춤형 시간표 서비스 구현" &amp; " " &amp; IF(P28="","",TEXT(P28,"M/D-")) &amp; IF(Q28="","",TEXT(Q28,"M/D")) &amp; " "</f>
        <v xml:space="preserve">     0.00% 개인 맞춤형 시간표 서비스 구현 4/9-4/28 </v>
      </c>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ht="12" customHeight="1" outlineLevel="3">
      <c r="A29" s="145"/>
      <c r="B29" s="145"/>
      <c r="C29" s="145">
        <v>4</v>
      </c>
      <c r="D29" s="146" t="s">
        <v>1623</v>
      </c>
      <c r="E29" s="147"/>
      <c r="F29" s="147"/>
      <c r="G29" s="147"/>
      <c r="H29" s="147" t="s">
        <v>1608</v>
      </c>
      <c r="I29" s="147"/>
      <c r="J29" s="147"/>
      <c r="K29" s="147"/>
      <c r="L29" s="147"/>
      <c r="M29" s="147"/>
      <c r="N29" s="147"/>
      <c r="O29" s="147"/>
      <c r="P29" s="148">
        <v>44315</v>
      </c>
      <c r="Q29" s="148">
        <v>44324</v>
      </c>
      <c r="R29" s="149"/>
      <c r="S29" s="150">
        <v>6</v>
      </c>
      <c r="T29" s="150">
        <v>0</v>
      </c>
      <c r="U29" s="150">
        <v>6</v>
      </c>
      <c r="V29" s="150">
        <v>0</v>
      </c>
      <c r="W29" s="148"/>
      <c r="X29" s="148"/>
      <c r="Y29" s="151"/>
      <c r="Z29" s="152">
        <v>0</v>
      </c>
      <c r="AA29" s="150"/>
      <c r="AB29" s="149"/>
      <c r="AC29" s="153"/>
      <c r="AD29" s="154">
        <v>0</v>
      </c>
      <c r="AE29" s="185">
        <v>0</v>
      </c>
      <c r="AF29" s="156"/>
      <c r="AG29" s="157"/>
      <c r="AH29" s="157"/>
      <c r="AI29" s="157"/>
      <c r="AJ29" s="157"/>
      <c r="AK29" s="157"/>
      <c r="AL29" s="157"/>
      <c r="AM29" s="157"/>
      <c r="AN29" s="157"/>
      <c r="AO29" s="157"/>
      <c r="AP29" s="157" t="str">
        <f>"    " &amp; TEXT(AE29,"#0.00%") &amp; " " &amp; "개인 맞춤형 시간표 서비스 TEST&amp;MODIFY" &amp; " " &amp; IF(P29="","",TEXT(P29,"M/D-")) &amp; IF(Q29="","",TEXT(Q29,"M/D")) &amp; " "</f>
        <v xml:space="preserve">    0.00% 개인 맞춤형 시간표 서비스 TEST&amp;MODIFY 4/29-5/8 </v>
      </c>
      <c r="AQ29" s="157"/>
      <c r="AR29" s="157"/>
      <c r="AS29" s="157"/>
      <c r="AT29" s="157"/>
      <c r="AU29" s="157"/>
      <c r="AV29" s="157"/>
      <c r="AW29" s="157"/>
      <c r="AX29" s="157"/>
      <c r="AY29" s="157"/>
      <c r="AZ29" s="157"/>
      <c r="BA29" s="157"/>
      <c r="BB29" s="157"/>
      <c r="BC29" s="157"/>
      <c r="BD29" s="157"/>
      <c r="BE29" s="157"/>
      <c r="BF29" s="157"/>
      <c r="BG29" s="157"/>
      <c r="BH29" s="157"/>
      <c r="BI29" s="157"/>
    </row>
    <row r="30" spans="1:61" ht="12" customHeight="1" outlineLevel="2">
      <c r="A30" s="145"/>
      <c r="B30" s="145" t="s">
        <v>1508</v>
      </c>
      <c r="C30" s="145">
        <v>3</v>
      </c>
      <c r="D30" s="146" t="s">
        <v>1520</v>
      </c>
      <c r="E30" s="147"/>
      <c r="F30" s="147"/>
      <c r="G30" s="147" t="s">
        <v>1609</v>
      </c>
      <c r="H30" s="147"/>
      <c r="I30" s="147"/>
      <c r="J30" s="147"/>
      <c r="K30" s="147"/>
      <c r="L30" s="147"/>
      <c r="M30" s="147"/>
      <c r="N30" s="147"/>
      <c r="O30" s="147"/>
      <c r="P30" s="148">
        <v>44325</v>
      </c>
      <c r="Q30" s="148">
        <v>44367</v>
      </c>
      <c r="R30" s="149"/>
      <c r="S30" s="150">
        <v>29</v>
      </c>
      <c r="T30" s="150">
        <v>0</v>
      </c>
      <c r="U30" s="150">
        <v>29</v>
      </c>
      <c r="V30" s="150">
        <v>0</v>
      </c>
      <c r="W30" s="148"/>
      <c r="X30" s="148"/>
      <c r="Y30" s="151">
        <v>0</v>
      </c>
      <c r="Z30" s="152">
        <v>0</v>
      </c>
      <c r="AA30" s="150"/>
      <c r="AB30" s="149"/>
      <c r="AC30" s="153"/>
      <c r="AD30" s="154">
        <v>0</v>
      </c>
      <c r="AE30" s="213">
        <v>0</v>
      </c>
      <c r="AF30" s="156"/>
      <c r="AG30" s="157"/>
      <c r="AH30" s="157"/>
      <c r="AI30" s="157"/>
      <c r="AJ30" s="157"/>
      <c r="AK30" s="157"/>
      <c r="AL30" s="157"/>
      <c r="AM30" s="157"/>
      <c r="AN30" s="157"/>
      <c r="AO30" s="157"/>
      <c r="AP30" s="157"/>
      <c r="AQ30" s="157"/>
      <c r="AR30" s="157" t="str">
        <f>"" &amp; TEXT(AE30,"#0.00%") &amp; " "</f>
        <v xml:space="preserve">0.00% </v>
      </c>
      <c r="AS30" s="157"/>
      <c r="AT30" s="157"/>
      <c r="AU30" s="157"/>
      <c r="AV30" s="157"/>
      <c r="AW30" s="157"/>
      <c r="AX30" s="157" t="str">
        <f>" " &amp; "멘토-멘티 매칭 서비스" &amp; " " &amp; IF(P30="","",TEXT(P30,"M/D-")) &amp; IF(Q30="","",TEXT(Q30,"M/D")) &amp; " "</f>
        <v xml:space="preserve"> 멘토-멘티 매칭 서비스 5/9-6/20 </v>
      </c>
      <c r="AY30" s="157"/>
      <c r="AZ30" s="157"/>
      <c r="BA30" s="157"/>
      <c r="BB30" s="157"/>
      <c r="BC30" s="157"/>
      <c r="BD30" s="157"/>
      <c r="BE30" s="157"/>
      <c r="BF30" s="157"/>
      <c r="BG30" s="157"/>
      <c r="BH30" s="157"/>
      <c r="BI30" s="157"/>
    </row>
    <row r="31" spans="1:61" ht="12" customHeight="1" outlineLevel="3">
      <c r="A31" s="145"/>
      <c r="B31" s="145"/>
      <c r="C31" s="145">
        <v>4</v>
      </c>
      <c r="D31" s="146" t="s">
        <v>1624</v>
      </c>
      <c r="E31" s="147"/>
      <c r="F31" s="147"/>
      <c r="G31" s="147"/>
      <c r="H31" s="147" t="s">
        <v>1606</v>
      </c>
      <c r="I31" s="147"/>
      <c r="J31" s="147"/>
      <c r="K31" s="147"/>
      <c r="L31" s="147"/>
      <c r="M31" s="147"/>
      <c r="N31" s="147"/>
      <c r="O31" s="147"/>
      <c r="P31" s="148">
        <v>44325</v>
      </c>
      <c r="Q31" s="148">
        <v>44341</v>
      </c>
      <c r="R31" s="149"/>
      <c r="S31" s="150">
        <v>11</v>
      </c>
      <c r="T31" s="150">
        <v>0</v>
      </c>
      <c r="U31" s="150">
        <v>11</v>
      </c>
      <c r="V31" s="150">
        <v>0</v>
      </c>
      <c r="W31" s="148"/>
      <c r="X31" s="148"/>
      <c r="Y31" s="151"/>
      <c r="Z31" s="152">
        <v>0</v>
      </c>
      <c r="AA31" s="150"/>
      <c r="AB31" s="149"/>
      <c r="AC31" s="153"/>
      <c r="AD31" s="154">
        <v>0</v>
      </c>
      <c r="AE31" s="185">
        <v>0</v>
      </c>
      <c r="AF31" s="156"/>
      <c r="AG31" s="157"/>
      <c r="AH31" s="157"/>
      <c r="AI31" s="157"/>
      <c r="AJ31" s="157"/>
      <c r="AK31" s="157"/>
      <c r="AL31" s="157"/>
      <c r="AM31" s="157"/>
      <c r="AN31" s="157"/>
      <c r="AO31" s="157"/>
      <c r="AP31" s="157"/>
      <c r="AQ31" s="157"/>
      <c r="AR31" s="157" t="str">
        <f>"" &amp; TEXT(AE31,"#0.00%") &amp; " " &amp; "기획 검토 및 스토리보드,화면설계서 작성" &amp; " " &amp; IF(P31="","",TEXT(P31,"M/D-")) &amp; IF(Q31="","",TEXT(Q31,"M/D")) &amp; " "</f>
        <v xml:space="preserve">0.00% 기획 검토 및 스토리보드,화면설계서 작성 5/9-5/25 </v>
      </c>
      <c r="AS31" s="157"/>
      <c r="AT31" s="157"/>
      <c r="AU31" s="157"/>
      <c r="AV31" s="157"/>
      <c r="AW31" s="157"/>
      <c r="AX31" s="157"/>
      <c r="AY31" s="157"/>
      <c r="AZ31" s="157"/>
      <c r="BA31" s="157"/>
      <c r="BB31" s="157"/>
      <c r="BC31" s="157"/>
      <c r="BD31" s="157"/>
      <c r="BE31" s="157"/>
      <c r="BF31" s="157"/>
      <c r="BG31" s="157"/>
      <c r="BH31" s="157"/>
      <c r="BI31" s="157"/>
    </row>
    <row r="32" spans="1:61" ht="12" customHeight="1" outlineLevel="3">
      <c r="A32" s="145"/>
      <c r="B32" s="145"/>
      <c r="C32" s="145">
        <v>4</v>
      </c>
      <c r="D32" s="146" t="s">
        <v>1625</v>
      </c>
      <c r="E32" s="147"/>
      <c r="F32" s="147"/>
      <c r="G32" s="147"/>
      <c r="H32" s="147" t="s">
        <v>1610</v>
      </c>
      <c r="I32" s="147"/>
      <c r="J32" s="147"/>
      <c r="K32" s="147"/>
      <c r="L32" s="147"/>
      <c r="M32" s="147"/>
      <c r="N32" s="147"/>
      <c r="O32" s="147"/>
      <c r="P32" s="148">
        <v>44342</v>
      </c>
      <c r="Q32" s="148">
        <v>44359</v>
      </c>
      <c r="R32" s="149"/>
      <c r="S32" s="150">
        <v>13</v>
      </c>
      <c r="T32" s="150">
        <v>0</v>
      </c>
      <c r="U32" s="150">
        <v>13</v>
      </c>
      <c r="V32" s="150">
        <v>0</v>
      </c>
      <c r="W32" s="148"/>
      <c r="X32" s="148"/>
      <c r="Y32" s="151"/>
      <c r="Z32" s="152">
        <v>0</v>
      </c>
      <c r="AA32" s="150"/>
      <c r="AB32" s="149"/>
      <c r="AC32" s="153"/>
      <c r="AD32" s="154">
        <v>0</v>
      </c>
      <c r="AE32" s="185">
        <v>0</v>
      </c>
      <c r="AF32" s="156"/>
      <c r="AG32" s="157"/>
      <c r="AH32" s="157"/>
      <c r="AI32" s="157"/>
      <c r="AJ32" s="157"/>
      <c r="AK32" s="157"/>
      <c r="AL32" s="157"/>
      <c r="AM32" s="157"/>
      <c r="AN32" s="157"/>
      <c r="AO32" s="157"/>
      <c r="AP32" s="157"/>
      <c r="AQ32" s="157"/>
      <c r="AR32" s="157"/>
      <c r="AS32" s="157"/>
      <c r="AT32" s="157" t="str">
        <f>"   " &amp; TEXT(AE32,"#0.00%") &amp; " "</f>
        <v xml:space="preserve">   0.00% </v>
      </c>
      <c r="AU32" s="157"/>
      <c r="AV32" s="157"/>
      <c r="AW32" s="157" t="str">
        <f>"" &amp; "멘토-멘티 매칭 서비스 구현" &amp; " " &amp; IF(P32="","",TEXT(P32,"M/D-")) &amp; IF(Q32="","",TEXT(Q32,"M/D")) &amp; " "</f>
        <v xml:space="preserve">멘토-멘티 매칭 서비스 구현 5/26-6/12 </v>
      </c>
      <c r="AX32" s="157"/>
      <c r="AY32" s="157"/>
      <c r="AZ32" s="157"/>
      <c r="BA32" s="157"/>
      <c r="BB32" s="157"/>
      <c r="BC32" s="157"/>
      <c r="BD32" s="157"/>
      <c r="BE32" s="157"/>
      <c r="BF32" s="157"/>
      <c r="BG32" s="157"/>
      <c r="BH32" s="157"/>
      <c r="BI32" s="157"/>
    </row>
    <row r="33" spans="1:61" ht="12" customHeight="1" outlineLevel="3">
      <c r="A33" s="145"/>
      <c r="B33" s="145"/>
      <c r="C33" s="145">
        <v>4</v>
      </c>
      <c r="D33" s="146" t="s">
        <v>1626</v>
      </c>
      <c r="E33" s="147"/>
      <c r="F33" s="147"/>
      <c r="G33" s="147"/>
      <c r="H33" s="147" t="s">
        <v>1611</v>
      </c>
      <c r="I33" s="147"/>
      <c r="J33" s="147"/>
      <c r="K33" s="147"/>
      <c r="L33" s="147"/>
      <c r="M33" s="147"/>
      <c r="N33" s="147"/>
      <c r="O33" s="147"/>
      <c r="P33" s="148">
        <v>44360</v>
      </c>
      <c r="Q33" s="148">
        <v>44367</v>
      </c>
      <c r="R33" s="149"/>
      <c r="S33" s="150">
        <v>5</v>
      </c>
      <c r="T33" s="150">
        <v>0</v>
      </c>
      <c r="U33" s="150">
        <v>5</v>
      </c>
      <c r="V33" s="150">
        <v>0</v>
      </c>
      <c r="W33" s="148"/>
      <c r="X33" s="148"/>
      <c r="Y33" s="151"/>
      <c r="Z33" s="152">
        <v>0</v>
      </c>
      <c r="AA33" s="150"/>
      <c r="AB33" s="149"/>
      <c r="AC33" s="153"/>
      <c r="AD33" s="154">
        <v>0</v>
      </c>
      <c r="AE33" s="185">
        <v>0</v>
      </c>
      <c r="AF33" s="156"/>
      <c r="AG33" s="157"/>
      <c r="AH33" s="157"/>
      <c r="AI33" s="157"/>
      <c r="AJ33" s="157"/>
      <c r="AK33" s="157"/>
      <c r="AL33" s="157"/>
      <c r="AM33" s="157"/>
      <c r="AN33" s="157"/>
      <c r="AO33" s="157"/>
      <c r="AP33" s="157"/>
      <c r="AQ33" s="157"/>
      <c r="AR33" s="157"/>
      <c r="AS33" s="157"/>
      <c r="AT33" s="157"/>
      <c r="AU33" s="157"/>
      <c r="AV33" s="157"/>
      <c r="AW33" s="157" t="str">
        <f>"" &amp; TEXT(AE33,"#0.00%") &amp; " " &amp; "멘토-멘티 애칭 서비스 TEST&amp;MODIFY" &amp; " " &amp; IF(P33="","",TEXT(P33,"M/D-")) &amp; IF(Q33="","",TEXT(Q33,"M/D")) &amp; " "</f>
        <v xml:space="preserve">0.00% 멘토-멘티 애칭 서비스 TEST&amp;MODIFY 6/13-6/20 </v>
      </c>
      <c r="AX33" s="157"/>
      <c r="AY33" s="157"/>
      <c r="AZ33" s="157"/>
      <c r="BA33" s="157"/>
      <c r="BB33" s="157"/>
      <c r="BC33" s="157"/>
      <c r="BD33" s="157"/>
      <c r="BE33" s="157"/>
      <c r="BF33" s="157"/>
      <c r="BG33" s="157"/>
      <c r="BH33" s="157"/>
      <c r="BI33" s="157"/>
    </row>
    <row r="34" spans="1:61" ht="12" customHeight="1" outlineLevel="2">
      <c r="A34" s="145"/>
      <c r="B34" s="145" t="s">
        <v>1508</v>
      </c>
      <c r="C34" s="145">
        <v>3</v>
      </c>
      <c r="D34" s="146" t="s">
        <v>1522</v>
      </c>
      <c r="E34" s="147"/>
      <c r="F34" s="147"/>
      <c r="G34" s="147" t="s">
        <v>1612</v>
      </c>
      <c r="H34" s="147"/>
      <c r="I34" s="147"/>
      <c r="J34" s="147"/>
      <c r="K34" s="147"/>
      <c r="L34" s="147"/>
      <c r="M34" s="147"/>
      <c r="N34" s="147"/>
      <c r="O34" s="147"/>
      <c r="P34" s="148">
        <v>44368</v>
      </c>
      <c r="Q34" s="148">
        <v>44407</v>
      </c>
      <c r="R34" s="149"/>
      <c r="S34" s="150">
        <v>30</v>
      </c>
      <c r="T34" s="150">
        <v>0</v>
      </c>
      <c r="U34" s="150">
        <v>30</v>
      </c>
      <c r="V34" s="150">
        <v>0</v>
      </c>
      <c r="W34" s="148"/>
      <c r="X34" s="148"/>
      <c r="Y34" s="151">
        <v>0</v>
      </c>
      <c r="Z34" s="152">
        <v>0</v>
      </c>
      <c r="AA34" s="150"/>
      <c r="AB34" s="149"/>
      <c r="AC34" s="153"/>
      <c r="AD34" s="154">
        <v>0</v>
      </c>
      <c r="AE34" s="213">
        <v>0</v>
      </c>
      <c r="AF34" s="156"/>
      <c r="AG34" s="157"/>
      <c r="AH34" s="157"/>
      <c r="AI34" s="157"/>
      <c r="AJ34" s="157"/>
      <c r="AK34" s="157"/>
      <c r="AL34" s="157"/>
      <c r="AM34" s="157"/>
      <c r="AN34" s="157"/>
      <c r="AO34" s="157"/>
      <c r="AP34" s="157"/>
      <c r="AQ34" s="157"/>
      <c r="AR34" s="157"/>
      <c r="AS34" s="157"/>
      <c r="AT34" s="157"/>
      <c r="AU34" s="157"/>
      <c r="AV34" s="157"/>
      <c r="AW34" s="157"/>
      <c r="AX34" s="157" t="str">
        <f>" " &amp; TEXT(AE34,"#0.00%") &amp; " "</f>
        <v xml:space="preserve"> 0.00% </v>
      </c>
      <c r="AY34" s="157"/>
      <c r="AZ34" s="157"/>
      <c r="BA34" s="157"/>
      <c r="BB34" s="157"/>
      <c r="BC34" s="157" t="str">
        <f>"      " &amp; "소학회 페이지" &amp; " " &amp; IF(P34="","",TEXT(P34,"M/D-")) &amp; IF(Q34="","",TEXT(Q34,"M/D")) &amp; " "</f>
        <v xml:space="preserve">      소학회 페이지 6/21-7/30 </v>
      </c>
      <c r="BD34" s="157"/>
      <c r="BE34" s="157"/>
      <c r="BF34" s="157"/>
      <c r="BG34" s="157"/>
      <c r="BH34" s="157"/>
      <c r="BI34" s="157"/>
    </row>
    <row r="35" spans="1:61" ht="12" customHeight="1" outlineLevel="3">
      <c r="A35" s="145"/>
      <c r="B35" s="145"/>
      <c r="C35" s="145">
        <v>4</v>
      </c>
      <c r="D35" s="146" t="s">
        <v>1627</v>
      </c>
      <c r="E35" s="147"/>
      <c r="F35" s="147"/>
      <c r="G35" s="147"/>
      <c r="H35" s="147" t="s">
        <v>1606</v>
      </c>
      <c r="I35" s="147"/>
      <c r="J35" s="147"/>
      <c r="K35" s="147"/>
      <c r="L35" s="147"/>
      <c r="M35" s="147"/>
      <c r="N35" s="147"/>
      <c r="O35" s="147"/>
      <c r="P35" s="148">
        <v>44368</v>
      </c>
      <c r="Q35" s="148">
        <v>44377</v>
      </c>
      <c r="R35" s="149"/>
      <c r="S35" s="150">
        <v>8</v>
      </c>
      <c r="T35" s="150">
        <v>0</v>
      </c>
      <c r="U35" s="150">
        <v>8</v>
      </c>
      <c r="V35" s="150">
        <v>0</v>
      </c>
      <c r="W35" s="148"/>
      <c r="X35" s="148"/>
      <c r="Y35" s="151"/>
      <c r="Z35" s="152">
        <v>0</v>
      </c>
      <c r="AA35" s="150"/>
      <c r="AB35" s="149"/>
      <c r="AC35" s="153"/>
      <c r="AD35" s="154">
        <v>0</v>
      </c>
      <c r="AE35" s="185">
        <v>0</v>
      </c>
      <c r="AF35" s="156"/>
      <c r="AG35" s="157"/>
      <c r="AH35" s="157"/>
      <c r="AI35" s="157"/>
      <c r="AJ35" s="157"/>
      <c r="AK35" s="157"/>
      <c r="AL35" s="157"/>
      <c r="AM35" s="157"/>
      <c r="AN35" s="157"/>
      <c r="AO35" s="157"/>
      <c r="AP35" s="157"/>
      <c r="AQ35" s="157"/>
      <c r="AR35" s="157"/>
      <c r="AS35" s="157"/>
      <c r="AT35" s="157"/>
      <c r="AU35" s="157"/>
      <c r="AV35" s="157"/>
      <c r="AW35" s="157"/>
      <c r="AX35" s="157" t="str">
        <f>" " &amp; TEXT(AE35,"#0.00%") &amp; " " &amp; "기획 검토 및 스토리보드,화면설계서 작성" &amp; " " &amp; IF(P35="","",TEXT(P35,"M/D-")) &amp; IF(Q35="","",TEXT(Q35,"M/D")) &amp; " "</f>
        <v xml:space="preserve"> 0.00% 기획 검토 및 스토리보드,화면설계서 작성 6/21-6/30 </v>
      </c>
      <c r="AY35" s="157"/>
      <c r="AZ35" s="157"/>
      <c r="BA35" s="157"/>
      <c r="BB35" s="157"/>
      <c r="BC35" s="157"/>
      <c r="BD35" s="157"/>
      <c r="BE35" s="157"/>
      <c r="BF35" s="157"/>
      <c r="BG35" s="157"/>
      <c r="BH35" s="157"/>
      <c r="BI35" s="157"/>
    </row>
    <row r="36" spans="1:61" ht="12" customHeight="1" outlineLevel="3">
      <c r="A36" s="145"/>
      <c r="B36" s="145"/>
      <c r="C36" s="145">
        <v>4</v>
      </c>
      <c r="D36" s="146" t="s">
        <v>1628</v>
      </c>
      <c r="E36" s="147"/>
      <c r="F36" s="147"/>
      <c r="G36" s="147"/>
      <c r="H36" s="147" t="s">
        <v>1613</v>
      </c>
      <c r="I36" s="147"/>
      <c r="J36" s="147"/>
      <c r="K36" s="147"/>
      <c r="L36" s="147"/>
      <c r="M36" s="147"/>
      <c r="N36" s="147"/>
      <c r="O36" s="147"/>
      <c r="P36" s="148">
        <v>44378</v>
      </c>
      <c r="Q36" s="148">
        <v>44397</v>
      </c>
      <c r="R36" s="149"/>
      <c r="S36" s="150">
        <v>14</v>
      </c>
      <c r="T36" s="150">
        <v>0</v>
      </c>
      <c r="U36" s="150">
        <v>14</v>
      </c>
      <c r="V36" s="150">
        <v>0</v>
      </c>
      <c r="W36" s="148"/>
      <c r="X36" s="148"/>
      <c r="Y36" s="151"/>
      <c r="Z36" s="152">
        <v>0</v>
      </c>
      <c r="AA36" s="150"/>
      <c r="AB36" s="149"/>
      <c r="AC36" s="153"/>
      <c r="AD36" s="154">
        <v>0</v>
      </c>
      <c r="AE36" s="185">
        <v>0</v>
      </c>
      <c r="AF36" s="156"/>
      <c r="AG36" s="157"/>
      <c r="AH36" s="157"/>
      <c r="AI36" s="157"/>
      <c r="AJ36" s="157"/>
      <c r="AK36" s="157"/>
      <c r="AL36" s="157"/>
      <c r="AM36" s="157"/>
      <c r="AN36" s="157"/>
      <c r="AO36" s="157"/>
      <c r="AP36" s="157"/>
      <c r="AQ36" s="157"/>
      <c r="AR36" s="157"/>
      <c r="AS36" s="157"/>
      <c r="AT36" s="157"/>
      <c r="AU36" s="157"/>
      <c r="AV36" s="157"/>
      <c r="AW36" s="157"/>
      <c r="AX36" s="157"/>
      <c r="AY36" s="157" t="str">
        <f>"    " &amp; TEXT(AE36,"#0.00%") &amp; " " &amp; "소학회 페이지 구현" &amp; " " &amp; IF(P36="","",TEXT(P36,"M/D-")) &amp; IF(Q36="","",TEXT(Q36,"M/D")) &amp; " "</f>
        <v xml:space="preserve">    0.00% 소학회 페이지 구현 7/1-7/20 </v>
      </c>
      <c r="AZ36" s="157"/>
      <c r="BA36" s="157"/>
      <c r="BB36" s="157"/>
      <c r="BC36" s="157"/>
      <c r="BD36" s="157"/>
      <c r="BE36" s="157"/>
      <c r="BF36" s="157"/>
      <c r="BG36" s="157"/>
      <c r="BH36" s="157"/>
      <c r="BI36" s="157"/>
    </row>
    <row r="37" spans="1:61" ht="12" customHeight="1" outlineLevel="3">
      <c r="A37" s="145"/>
      <c r="B37" s="145"/>
      <c r="C37" s="145">
        <v>4</v>
      </c>
      <c r="D37" s="146" t="s">
        <v>1629</v>
      </c>
      <c r="E37" s="147"/>
      <c r="F37" s="147"/>
      <c r="G37" s="147"/>
      <c r="H37" s="147" t="s">
        <v>1614</v>
      </c>
      <c r="I37" s="147"/>
      <c r="J37" s="147"/>
      <c r="K37" s="147"/>
      <c r="L37" s="147"/>
      <c r="M37" s="147"/>
      <c r="N37" s="147"/>
      <c r="O37" s="147"/>
      <c r="P37" s="148">
        <v>44398</v>
      </c>
      <c r="Q37" s="148">
        <v>44407</v>
      </c>
      <c r="R37" s="149"/>
      <c r="S37" s="150">
        <v>8</v>
      </c>
      <c r="T37" s="150">
        <v>0</v>
      </c>
      <c r="U37" s="150">
        <v>8</v>
      </c>
      <c r="V37" s="150">
        <v>0</v>
      </c>
      <c r="W37" s="148"/>
      <c r="X37" s="148"/>
      <c r="Y37" s="151"/>
      <c r="Z37" s="152">
        <v>0</v>
      </c>
      <c r="AA37" s="150"/>
      <c r="AB37" s="149"/>
      <c r="AC37" s="153"/>
      <c r="AD37" s="154">
        <v>0</v>
      </c>
      <c r="AE37" s="185">
        <v>0</v>
      </c>
      <c r="AF37" s="156"/>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t="str">
        <f>"   " &amp; TEXT(AE37,"#0.00%") &amp; " " &amp; "소학회 페이지 TEST&amp;MODIFY" &amp; " " &amp; IF(P37="","",TEXT(P37,"M/D-")) &amp; IF(Q37="","",TEXT(Q37,"M/D")) &amp; " "</f>
        <v xml:space="preserve">   0.00% 소학회 페이지 TEST&amp;MODIFY 7/21-7/30 </v>
      </c>
      <c r="BC37" s="157"/>
      <c r="BD37" s="157"/>
      <c r="BE37" s="157"/>
      <c r="BF37" s="157"/>
      <c r="BG37" s="157"/>
      <c r="BH37" s="157"/>
      <c r="BI37" s="157"/>
    </row>
    <row r="38" spans="1:61" ht="12" customHeight="1" outlineLevel="2">
      <c r="A38" s="145"/>
      <c r="B38" s="145" t="s">
        <v>1508</v>
      </c>
      <c r="C38" s="145">
        <v>3</v>
      </c>
      <c r="D38" s="146" t="s">
        <v>1630</v>
      </c>
      <c r="E38" s="147"/>
      <c r="F38" s="147"/>
      <c r="G38" s="147" t="s">
        <v>1568</v>
      </c>
      <c r="H38" s="147"/>
      <c r="I38" s="147"/>
      <c r="J38" s="147"/>
      <c r="K38" s="147"/>
      <c r="L38" s="147"/>
      <c r="M38" s="147"/>
      <c r="N38" s="147"/>
      <c r="O38" s="147"/>
      <c r="P38" s="148">
        <v>44408</v>
      </c>
      <c r="Q38" s="148">
        <v>44424</v>
      </c>
      <c r="R38" s="149"/>
      <c r="S38" s="150">
        <v>11</v>
      </c>
      <c r="T38" s="150">
        <v>0</v>
      </c>
      <c r="U38" s="150">
        <v>11</v>
      </c>
      <c r="V38" s="150">
        <v>0</v>
      </c>
      <c r="W38" s="148"/>
      <c r="X38" s="148"/>
      <c r="Y38" s="151">
        <v>0</v>
      </c>
      <c r="Z38" s="152">
        <v>0</v>
      </c>
      <c r="AA38" s="150"/>
      <c r="AB38" s="149"/>
      <c r="AC38" s="153"/>
      <c r="AD38" s="154">
        <v>0</v>
      </c>
      <c r="AE38" s="213">
        <v>0</v>
      </c>
      <c r="AF38" s="156"/>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t="str">
        <f>"      " &amp; TEXT(AE38,"#0.00%") &amp; " " &amp; "사용자 설문조사" &amp; " " &amp; IF(P38="","",TEXT(P38,"M/D-")) &amp; IF(Q38="","",TEXT(Q38,"M/D")) &amp; " "</f>
        <v xml:space="preserve">      0.00% 사용자 설문조사 7/31-8/16 </v>
      </c>
      <c r="BD38" s="157"/>
      <c r="BE38" s="157"/>
      <c r="BF38" s="157"/>
      <c r="BG38" s="157"/>
      <c r="BH38" s="157"/>
      <c r="BI38" s="157"/>
    </row>
    <row r="39" spans="1:61" ht="12" customHeight="1" outlineLevel="3">
      <c r="A39" s="145"/>
      <c r="B39" s="145"/>
      <c r="C39" s="145">
        <v>4</v>
      </c>
      <c r="D39" s="146" t="s">
        <v>1631</v>
      </c>
      <c r="E39" s="147"/>
      <c r="F39" s="147"/>
      <c r="G39" s="147"/>
      <c r="H39" s="147" t="s">
        <v>1615</v>
      </c>
      <c r="I39" s="147"/>
      <c r="J39" s="147"/>
      <c r="K39" s="147"/>
      <c r="L39" s="147"/>
      <c r="M39" s="147"/>
      <c r="N39" s="147"/>
      <c r="O39" s="147"/>
      <c r="P39" s="148">
        <v>44408</v>
      </c>
      <c r="Q39" s="148">
        <v>44422</v>
      </c>
      <c r="R39" s="149"/>
      <c r="S39" s="150">
        <v>10</v>
      </c>
      <c r="T39" s="150">
        <v>0</v>
      </c>
      <c r="U39" s="150">
        <v>10</v>
      </c>
      <c r="V39" s="150">
        <v>0</v>
      </c>
      <c r="W39" s="148"/>
      <c r="X39" s="148"/>
      <c r="Y39" s="151"/>
      <c r="Z39" s="152">
        <v>0</v>
      </c>
      <c r="AA39" s="150"/>
      <c r="AB39" s="149"/>
      <c r="AC39" s="153"/>
      <c r="AD39" s="154">
        <v>0</v>
      </c>
      <c r="AE39" s="185">
        <v>0</v>
      </c>
      <c r="AF39" s="156"/>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t="str">
        <f>"      " &amp; TEXT(AE39,"#0.00%") &amp; " " &amp; "설문조사 배포" &amp; " " &amp; IF(P39="","",TEXT(P39,"M/D-")) &amp; IF(Q39="","",TEXT(Q39,"M/D")) &amp; " "</f>
        <v xml:space="preserve">      0.00% 설문조사 배포 7/31-8/14 </v>
      </c>
      <c r="BD39" s="157"/>
      <c r="BE39" s="157"/>
      <c r="BF39" s="157"/>
      <c r="BG39" s="157"/>
      <c r="BH39" s="157"/>
      <c r="BI39" s="157"/>
    </row>
    <row r="40" spans="1:61" ht="12" customHeight="1" outlineLevel="3">
      <c r="A40" s="145"/>
      <c r="B40" s="145"/>
      <c r="C40" s="145">
        <v>4</v>
      </c>
      <c r="D40" s="146" t="s">
        <v>1632</v>
      </c>
      <c r="E40" s="147"/>
      <c r="F40" s="147"/>
      <c r="G40" s="147"/>
      <c r="H40" s="147" t="s">
        <v>1616</v>
      </c>
      <c r="I40" s="147"/>
      <c r="J40" s="147"/>
      <c r="K40" s="147"/>
      <c r="L40" s="147"/>
      <c r="M40" s="147"/>
      <c r="N40" s="147"/>
      <c r="O40" s="147"/>
      <c r="P40" s="148">
        <v>44423</v>
      </c>
      <c r="Q40" s="148">
        <v>44424</v>
      </c>
      <c r="R40" s="149"/>
      <c r="S40" s="150">
        <v>1</v>
      </c>
      <c r="T40" s="150">
        <v>0</v>
      </c>
      <c r="U40" s="150">
        <v>1</v>
      </c>
      <c r="V40" s="150">
        <v>0</v>
      </c>
      <c r="W40" s="148"/>
      <c r="X40" s="148"/>
      <c r="Y40" s="151"/>
      <c r="Z40" s="152">
        <v>0</v>
      </c>
      <c r="AA40" s="150"/>
      <c r="AB40" s="149"/>
      <c r="AC40" s="153"/>
      <c r="AD40" s="154">
        <v>0</v>
      </c>
      <c r="AE40" s="185">
        <v>0</v>
      </c>
      <c r="AF40" s="156"/>
      <c r="AG40" s="157"/>
      <c r="AH40" s="157"/>
      <c r="AI40" s="157"/>
      <c r="AJ40" s="157"/>
      <c r="AK40" s="157"/>
      <c r="AL40" s="157"/>
      <c r="AM40" s="157"/>
      <c r="AN40" s="157"/>
      <c r="AO40" s="157"/>
      <c r="AP40" s="157"/>
      <c r="AQ40" s="157"/>
      <c r="AR40" s="157"/>
      <c r="AS40" s="157"/>
      <c r="AT40" s="157"/>
      <c r="AU40" s="157"/>
      <c r="AV40" s="157"/>
      <c r="AW40" s="157"/>
      <c r="AX40" s="157"/>
      <c r="AY40" s="157"/>
      <c r="AZ40" s="157"/>
      <c r="BA40" s="157"/>
      <c r="BB40" s="157"/>
      <c r="BC40" s="157"/>
      <c r="BD40" s="157"/>
      <c r="BE40" s="157"/>
      <c r="BF40" s="157" t="str">
        <f>"" &amp; TEXT(AE40,"#0.00%") &amp; " " &amp; "설문조사 분석" &amp; " " &amp; IF(P40="","",TEXT(P40,"M/D-")) &amp; IF(Q40="","",TEXT(Q40,"M/D")) &amp; " "</f>
        <v xml:space="preserve">0.00% 설문조사 분석 8/15-8/16 </v>
      </c>
      <c r="BG40" s="157"/>
      <c r="BH40" s="157"/>
      <c r="BI40" s="157"/>
    </row>
    <row r="41" spans="1:61" ht="12" customHeight="1">
      <c r="A41" s="293"/>
      <c r="B41" s="293"/>
      <c r="C41" s="293">
        <v>3</v>
      </c>
      <c r="D41" s="294"/>
      <c r="E41" s="162"/>
      <c r="F41" s="162"/>
      <c r="G41" s="162"/>
      <c r="H41" s="162"/>
      <c r="I41" s="162"/>
      <c r="J41" s="162"/>
      <c r="K41" s="162"/>
      <c r="L41" s="162"/>
      <c r="M41" s="162"/>
      <c r="N41" s="162"/>
      <c r="O41" s="162"/>
      <c r="P41" s="163"/>
      <c r="Q41" s="163"/>
      <c r="R41" s="296"/>
      <c r="S41" s="297"/>
      <c r="T41" s="297"/>
      <c r="U41" s="297"/>
      <c r="V41" s="297"/>
      <c r="W41" s="295"/>
      <c r="X41" s="295"/>
      <c r="Y41" s="298"/>
      <c r="Z41" s="299"/>
      <c r="AA41" s="297"/>
      <c r="AB41" s="296"/>
      <c r="AC41" s="300"/>
      <c r="AD41" s="301"/>
      <c r="AE41" s="302"/>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ht="12" customHeight="1">
      <c r="A42" s="145"/>
      <c r="B42" s="145"/>
      <c r="C42" s="145">
        <v>3</v>
      </c>
      <c r="D42" s="146"/>
      <c r="R42" s="149"/>
      <c r="S42" s="150"/>
      <c r="T42" s="150"/>
      <c r="U42" s="150"/>
      <c r="V42" s="150"/>
      <c r="W42" s="148"/>
      <c r="X42" s="148"/>
      <c r="Y42" s="151"/>
      <c r="Z42" s="152"/>
      <c r="AA42" s="150"/>
      <c r="AB42" s="149"/>
      <c r="AC42" s="153"/>
      <c r="AD42" s="154"/>
      <c r="AE42" s="155"/>
    </row>
    <row r="43" spans="1:61" ht="12" customHeight="1">
      <c r="A43" s="145"/>
      <c r="B43" s="145"/>
      <c r="C43" s="145">
        <v>3</v>
      </c>
      <c r="D43" s="146"/>
      <c r="R43" s="149"/>
      <c r="S43" s="150"/>
      <c r="T43" s="150"/>
      <c r="U43" s="150"/>
      <c r="V43" s="150"/>
      <c r="W43" s="148"/>
      <c r="X43" s="148"/>
      <c r="Y43" s="151"/>
      <c r="Z43" s="152"/>
      <c r="AA43" s="150"/>
      <c r="AB43" s="149"/>
      <c r="AC43" s="153"/>
      <c r="AD43" s="154"/>
      <c r="AE43" s="155"/>
    </row>
    <row r="44" spans="1:61" ht="12" customHeight="1">
      <c r="A44" s="145"/>
      <c r="B44" s="145"/>
      <c r="C44" s="145">
        <v>3</v>
      </c>
      <c r="D44" s="146"/>
      <c r="R44" s="149"/>
      <c r="S44" s="150"/>
      <c r="T44" s="150"/>
      <c r="U44" s="150"/>
      <c r="V44" s="150"/>
      <c r="W44" s="148"/>
      <c r="X44" s="148"/>
      <c r="Y44" s="151"/>
      <c r="Z44" s="152"/>
      <c r="AA44" s="150"/>
      <c r="AB44" s="149"/>
      <c r="AC44" s="153"/>
      <c r="AD44" s="154"/>
      <c r="AE44" s="155"/>
    </row>
    <row r="45" spans="1:61" ht="12" customHeight="1">
      <c r="A45" s="145"/>
      <c r="B45" s="145"/>
      <c r="C45" s="145">
        <v>3</v>
      </c>
      <c r="D45" s="146"/>
      <c r="R45" s="149"/>
      <c r="S45" s="150"/>
      <c r="T45" s="150"/>
      <c r="U45" s="150"/>
      <c r="V45" s="150"/>
      <c r="W45" s="148"/>
      <c r="X45" s="148"/>
      <c r="Y45" s="151"/>
      <c r="Z45" s="152"/>
      <c r="AA45" s="150"/>
      <c r="AB45" s="149"/>
      <c r="AC45" s="153"/>
      <c r="AD45" s="154"/>
      <c r="AE45" s="155"/>
    </row>
    <row r="46" spans="1:61" ht="12" customHeight="1">
      <c r="A46" s="145"/>
      <c r="B46" s="145" t="s">
        <v>1508</v>
      </c>
      <c r="C46" s="145">
        <v>2</v>
      </c>
      <c r="D46" s="146"/>
      <c r="R46" s="149"/>
      <c r="S46" s="150"/>
      <c r="T46" s="150"/>
      <c r="U46" s="150"/>
      <c r="V46" s="150"/>
      <c r="W46" s="148"/>
      <c r="X46" s="148"/>
      <c r="Y46" s="151"/>
      <c r="Z46" s="152"/>
      <c r="AA46" s="150"/>
      <c r="AB46" s="149"/>
      <c r="AC46" s="153"/>
      <c r="AD46" s="154"/>
      <c r="AE46" s="155"/>
    </row>
    <row r="47" spans="1:61" ht="12" customHeight="1">
      <c r="A47" s="145"/>
      <c r="B47" s="145"/>
      <c r="C47" s="145">
        <v>3</v>
      </c>
      <c r="D47" s="146"/>
      <c r="R47" s="149"/>
      <c r="S47" s="150"/>
      <c r="T47" s="150"/>
      <c r="U47" s="150"/>
      <c r="V47" s="150"/>
      <c r="W47" s="148"/>
      <c r="X47" s="148"/>
      <c r="Y47" s="151"/>
      <c r="Z47" s="152"/>
      <c r="AA47" s="150"/>
      <c r="AB47" s="149"/>
      <c r="AC47" s="153"/>
      <c r="AD47" s="154"/>
      <c r="AE47" s="155"/>
    </row>
    <row r="48" spans="1:61" ht="12" customHeight="1">
      <c r="A48" s="145"/>
      <c r="B48" s="145"/>
      <c r="C48" s="145">
        <v>3</v>
      </c>
      <c r="D48" s="146"/>
      <c r="R48" s="149"/>
      <c r="S48" s="150"/>
      <c r="T48" s="150"/>
      <c r="U48" s="150"/>
      <c r="V48" s="150"/>
      <c r="W48" s="148"/>
      <c r="X48" s="148"/>
      <c r="Y48" s="151"/>
      <c r="Z48" s="152"/>
      <c r="AA48" s="150"/>
      <c r="AB48" s="149"/>
      <c r="AC48" s="153"/>
      <c r="AD48" s="154"/>
      <c r="AE48" s="155"/>
    </row>
    <row r="49" spans="1:31" ht="12" customHeight="1">
      <c r="A49" s="145"/>
      <c r="B49" s="145" t="s">
        <v>1508</v>
      </c>
      <c r="C49" s="145">
        <v>2</v>
      </c>
      <c r="D49" s="146"/>
      <c r="R49" s="149"/>
      <c r="S49" s="150"/>
      <c r="T49" s="150"/>
      <c r="U49" s="150"/>
      <c r="V49" s="150"/>
      <c r="W49" s="148"/>
      <c r="X49" s="148"/>
      <c r="Y49" s="151"/>
      <c r="Z49" s="152"/>
      <c r="AA49" s="150"/>
      <c r="AB49" s="149"/>
      <c r="AC49" s="153"/>
      <c r="AD49" s="154"/>
      <c r="AE49" s="155"/>
    </row>
    <row r="50" spans="1:31" ht="12" customHeight="1">
      <c r="A50" s="145"/>
      <c r="B50" s="145"/>
      <c r="C50" s="145">
        <v>3</v>
      </c>
      <c r="D50" s="146"/>
      <c r="R50" s="149"/>
      <c r="S50" s="150"/>
      <c r="T50" s="150"/>
      <c r="U50" s="150"/>
      <c r="V50" s="150"/>
      <c r="W50" s="148"/>
      <c r="X50" s="148"/>
      <c r="Y50" s="151"/>
      <c r="Z50" s="152"/>
      <c r="AA50" s="150"/>
      <c r="AB50" s="149"/>
      <c r="AC50" s="153"/>
      <c r="AD50" s="154"/>
      <c r="AE50" s="155"/>
    </row>
    <row r="51" spans="1:31" ht="12" customHeight="1">
      <c r="A51" s="145"/>
      <c r="B51" s="145"/>
      <c r="C51" s="145">
        <v>3</v>
      </c>
      <c r="D51" s="146"/>
      <c r="R51" s="149"/>
      <c r="S51" s="150"/>
      <c r="T51" s="150"/>
      <c r="U51" s="150"/>
      <c r="V51" s="150"/>
      <c r="W51" s="148"/>
      <c r="X51" s="148"/>
      <c r="Y51" s="151"/>
      <c r="Z51" s="152"/>
      <c r="AA51" s="150"/>
      <c r="AB51" s="149"/>
      <c r="AC51" s="153"/>
      <c r="AD51" s="154"/>
      <c r="AE51" s="155"/>
    </row>
    <row r="52" spans="1:31" ht="12" customHeight="1">
      <c r="A52" s="145"/>
      <c r="B52" s="145"/>
      <c r="C52" s="145">
        <v>3</v>
      </c>
      <c r="D52" s="146"/>
      <c r="R52" s="149"/>
      <c r="S52" s="150"/>
      <c r="T52" s="150"/>
      <c r="U52" s="150"/>
      <c r="V52" s="150"/>
      <c r="W52" s="148"/>
      <c r="X52" s="148"/>
      <c r="Y52" s="151"/>
      <c r="Z52" s="152"/>
      <c r="AA52" s="150"/>
      <c r="AB52" s="149"/>
      <c r="AC52" s="153"/>
      <c r="AD52" s="154"/>
      <c r="AE52" s="155"/>
    </row>
    <row r="53" spans="1:31" ht="12" customHeight="1">
      <c r="A53" s="145"/>
      <c r="B53" s="145"/>
      <c r="C53" s="145">
        <v>3</v>
      </c>
      <c r="D53" s="146"/>
      <c r="R53" s="149"/>
      <c r="S53" s="150"/>
      <c r="T53" s="150"/>
      <c r="U53" s="150"/>
      <c r="V53" s="150"/>
      <c r="W53" s="148"/>
      <c r="X53" s="148"/>
      <c r="Y53" s="151"/>
      <c r="Z53" s="152"/>
      <c r="AA53" s="150"/>
      <c r="AB53" s="149"/>
      <c r="AC53" s="153"/>
      <c r="AD53" s="154"/>
      <c r="AE53" s="155"/>
    </row>
    <row r="54" spans="1:31" ht="12" customHeight="1">
      <c r="A54" s="145"/>
      <c r="B54" s="145"/>
      <c r="C54" s="145">
        <v>3</v>
      </c>
      <c r="D54" s="146"/>
      <c r="R54" s="149"/>
      <c r="S54" s="150"/>
      <c r="T54" s="150"/>
      <c r="U54" s="150"/>
      <c r="V54" s="150"/>
      <c r="W54" s="148"/>
      <c r="X54" s="148"/>
      <c r="Y54" s="151"/>
      <c r="Z54" s="152"/>
      <c r="AA54" s="150"/>
      <c r="AB54" s="149"/>
      <c r="AC54" s="153"/>
      <c r="AD54" s="154"/>
      <c r="AE54" s="155"/>
    </row>
    <row r="55" spans="1:31" ht="12" customHeight="1">
      <c r="A55" s="145"/>
      <c r="B55" s="145" t="s">
        <v>1508</v>
      </c>
      <c r="C55" s="145">
        <v>1</v>
      </c>
      <c r="D55" s="146"/>
      <c r="R55" s="149"/>
      <c r="S55" s="150"/>
      <c r="T55" s="150"/>
      <c r="U55" s="150"/>
      <c r="V55" s="150"/>
      <c r="W55" s="148"/>
      <c r="X55" s="148"/>
      <c r="Y55" s="151"/>
      <c r="Z55" s="152"/>
      <c r="AA55" s="150"/>
      <c r="AB55" s="149"/>
      <c r="AC55" s="153"/>
      <c r="AD55" s="154"/>
      <c r="AE55" s="213"/>
    </row>
    <row r="56" spans="1:31" ht="12" customHeight="1">
      <c r="A56" s="145"/>
      <c r="B56" s="145" t="s">
        <v>1508</v>
      </c>
      <c r="C56" s="145">
        <v>2</v>
      </c>
      <c r="D56" s="146"/>
      <c r="R56" s="149"/>
      <c r="S56" s="150"/>
      <c r="T56" s="150"/>
      <c r="U56" s="150"/>
      <c r="V56" s="150"/>
      <c r="W56" s="148"/>
      <c r="X56" s="148"/>
      <c r="Y56" s="151"/>
      <c r="Z56" s="152"/>
      <c r="AA56" s="150"/>
      <c r="AB56" s="149"/>
      <c r="AC56" s="153"/>
      <c r="AD56" s="154"/>
      <c r="AE56" s="213"/>
    </row>
    <row r="57" spans="1:31" ht="12" customHeight="1">
      <c r="A57" s="145"/>
      <c r="B57" s="145" t="s">
        <v>1508</v>
      </c>
      <c r="C57" s="145">
        <v>3</v>
      </c>
      <c r="D57" s="146"/>
      <c r="R57" s="149"/>
      <c r="S57" s="150"/>
      <c r="T57" s="150"/>
      <c r="U57" s="150"/>
      <c r="V57" s="150"/>
      <c r="W57" s="148"/>
      <c r="X57" s="148"/>
      <c r="Y57" s="151"/>
      <c r="Z57" s="152"/>
      <c r="AA57" s="150"/>
      <c r="AB57" s="149"/>
      <c r="AC57" s="153"/>
      <c r="AD57" s="154"/>
      <c r="AE57" s="155"/>
    </row>
    <row r="58" spans="1:31" ht="12" customHeight="1">
      <c r="A58" s="145"/>
      <c r="B58" s="145"/>
      <c r="C58" s="145">
        <v>4</v>
      </c>
      <c r="D58" s="146"/>
      <c r="R58" s="149"/>
      <c r="S58" s="150"/>
      <c r="T58" s="150"/>
      <c r="U58" s="150"/>
      <c r="V58" s="150"/>
      <c r="W58" s="148"/>
      <c r="X58" s="148"/>
      <c r="Y58" s="151"/>
      <c r="Z58" s="152"/>
      <c r="AA58" s="150"/>
      <c r="AB58" s="149"/>
      <c r="AC58" s="153"/>
      <c r="AD58" s="154"/>
      <c r="AE58" s="155"/>
    </row>
    <row r="59" spans="1:31" ht="12" customHeight="1">
      <c r="A59" s="145"/>
      <c r="B59" s="145"/>
      <c r="C59" s="145">
        <v>4</v>
      </c>
      <c r="D59" s="146"/>
      <c r="R59" s="149"/>
      <c r="S59" s="150"/>
      <c r="T59" s="150"/>
      <c r="U59" s="150"/>
      <c r="V59" s="150"/>
      <c r="W59" s="148"/>
      <c r="X59" s="148"/>
      <c r="Y59" s="151"/>
      <c r="Z59" s="152"/>
      <c r="AA59" s="150"/>
      <c r="AB59" s="149"/>
      <c r="AC59" s="153"/>
      <c r="AD59" s="154"/>
      <c r="AE59" s="155"/>
    </row>
    <row r="60" spans="1:31" ht="12" customHeight="1">
      <c r="A60" s="145"/>
      <c r="B60" s="145"/>
      <c r="C60" s="145">
        <v>3</v>
      </c>
      <c r="D60" s="146"/>
      <c r="R60" s="149"/>
      <c r="S60" s="150"/>
      <c r="T60" s="150"/>
      <c r="U60" s="150"/>
      <c r="V60" s="150"/>
      <c r="W60" s="148"/>
      <c r="X60" s="148"/>
      <c r="Y60" s="151"/>
      <c r="Z60" s="152"/>
      <c r="AA60" s="150"/>
      <c r="AB60" s="149"/>
      <c r="AC60" s="153"/>
      <c r="AD60" s="154"/>
      <c r="AE60" s="185"/>
    </row>
    <row r="61" spans="1:31" ht="12" customHeight="1">
      <c r="A61" s="145"/>
      <c r="B61" s="145" t="s">
        <v>1508</v>
      </c>
      <c r="C61" s="145">
        <v>2</v>
      </c>
      <c r="D61" s="146"/>
      <c r="R61" s="149"/>
      <c r="S61" s="150"/>
      <c r="T61" s="150"/>
      <c r="U61" s="150"/>
      <c r="V61" s="150"/>
      <c r="W61" s="148"/>
      <c r="X61" s="148"/>
      <c r="Y61" s="151"/>
      <c r="Z61" s="152"/>
      <c r="AA61" s="150"/>
      <c r="AB61" s="149"/>
      <c r="AC61" s="153"/>
      <c r="AD61" s="154"/>
      <c r="AE61" s="155"/>
    </row>
    <row r="62" spans="1:31" ht="12" customHeight="1">
      <c r="A62" s="145"/>
      <c r="B62" s="145"/>
      <c r="C62" s="145">
        <v>3</v>
      </c>
      <c r="D62" s="146"/>
      <c r="R62" s="149"/>
      <c r="S62" s="150"/>
      <c r="T62" s="150"/>
      <c r="U62" s="150"/>
      <c r="V62" s="150"/>
      <c r="W62" s="148"/>
      <c r="X62" s="148"/>
      <c r="Y62" s="151"/>
      <c r="Z62" s="152"/>
      <c r="AA62" s="150"/>
      <c r="AB62" s="149"/>
      <c r="AC62" s="153"/>
      <c r="AD62" s="154"/>
      <c r="AE62" s="155"/>
    </row>
    <row r="63" spans="1:31" ht="12" customHeight="1">
      <c r="A63" s="145"/>
      <c r="B63" s="145"/>
      <c r="C63" s="145">
        <v>3</v>
      </c>
      <c r="D63" s="146"/>
      <c r="R63" s="149"/>
      <c r="S63" s="150"/>
      <c r="T63" s="150"/>
      <c r="U63" s="150"/>
      <c r="V63" s="150"/>
      <c r="W63" s="148"/>
      <c r="X63" s="148"/>
      <c r="Y63" s="151"/>
      <c r="Z63" s="152"/>
      <c r="AA63" s="150"/>
      <c r="AB63" s="149"/>
      <c r="AC63" s="153"/>
      <c r="AD63" s="154"/>
      <c r="AE63" s="155"/>
    </row>
    <row r="64" spans="1:31" ht="12" customHeight="1">
      <c r="A64" s="145"/>
      <c r="B64" s="145"/>
      <c r="C64" s="145">
        <v>3</v>
      </c>
      <c r="D64" s="146"/>
      <c r="R64" s="149"/>
      <c r="S64" s="150"/>
      <c r="T64" s="150"/>
      <c r="U64" s="150"/>
      <c r="V64" s="150"/>
      <c r="W64" s="148"/>
      <c r="X64" s="148"/>
      <c r="Y64" s="151"/>
      <c r="Z64" s="152"/>
      <c r="AA64" s="150"/>
      <c r="AB64" s="149"/>
      <c r="AC64" s="153"/>
      <c r="AD64" s="154"/>
      <c r="AE64" s="155"/>
    </row>
    <row r="65" spans="1:31" ht="12" customHeight="1">
      <c r="A65" s="145"/>
      <c r="B65" s="145"/>
      <c r="C65" s="145">
        <v>3</v>
      </c>
      <c r="D65" s="146"/>
      <c r="R65" s="149"/>
      <c r="S65" s="150"/>
      <c r="T65" s="150"/>
      <c r="U65" s="150"/>
      <c r="V65" s="150"/>
      <c r="W65" s="148"/>
      <c r="X65" s="148"/>
      <c r="Y65" s="151"/>
      <c r="Z65" s="152"/>
      <c r="AA65" s="150"/>
      <c r="AB65" s="149"/>
      <c r="AC65" s="153"/>
      <c r="AD65" s="154"/>
      <c r="AE65" s="155"/>
    </row>
    <row r="66" spans="1:31" ht="12" customHeight="1">
      <c r="A66" s="145"/>
      <c r="B66" s="145"/>
      <c r="C66" s="145">
        <v>3</v>
      </c>
      <c r="D66" s="146"/>
      <c r="R66" s="149"/>
      <c r="S66" s="150"/>
      <c r="T66" s="150"/>
      <c r="U66" s="150"/>
      <c r="V66" s="150"/>
      <c r="W66" s="148"/>
      <c r="X66" s="148"/>
      <c r="Y66" s="151"/>
      <c r="Z66" s="152"/>
      <c r="AA66" s="150"/>
      <c r="AB66" s="149"/>
      <c r="AC66" s="153"/>
      <c r="AD66" s="154"/>
      <c r="AE66" s="155"/>
    </row>
    <row r="67" spans="1:31" ht="12" customHeight="1">
      <c r="A67" s="145"/>
      <c r="B67" s="145" t="s">
        <v>1508</v>
      </c>
      <c r="C67" s="145">
        <v>2</v>
      </c>
      <c r="D67" s="146"/>
      <c r="R67" s="149"/>
      <c r="S67" s="150"/>
      <c r="T67" s="150"/>
      <c r="U67" s="150"/>
      <c r="V67" s="150"/>
      <c r="W67" s="148"/>
      <c r="X67" s="148"/>
      <c r="Y67" s="151"/>
      <c r="Z67" s="152"/>
      <c r="AA67" s="150"/>
      <c r="AB67" s="149"/>
      <c r="AC67" s="153"/>
      <c r="AD67" s="154"/>
      <c r="AE67" s="155"/>
    </row>
    <row r="68" spans="1:31" ht="12" customHeight="1">
      <c r="A68" s="145"/>
      <c r="B68" s="145" t="s">
        <v>1508</v>
      </c>
      <c r="C68" s="145">
        <v>3</v>
      </c>
      <c r="D68" s="146"/>
      <c r="R68" s="149"/>
      <c r="S68" s="150"/>
      <c r="T68" s="150"/>
      <c r="U68" s="150"/>
      <c r="V68" s="150"/>
      <c r="W68" s="148"/>
      <c r="X68" s="148"/>
      <c r="Y68" s="151"/>
      <c r="Z68" s="152"/>
      <c r="AA68" s="150"/>
      <c r="AB68" s="149"/>
      <c r="AC68" s="153"/>
      <c r="AD68" s="154"/>
      <c r="AE68" s="155"/>
    </row>
    <row r="69" spans="1:31" ht="12" customHeight="1">
      <c r="A69" s="145"/>
      <c r="B69" s="145"/>
      <c r="C69" s="145">
        <v>4</v>
      </c>
      <c r="D69" s="146"/>
      <c r="R69" s="149"/>
      <c r="S69" s="150"/>
      <c r="T69" s="150"/>
      <c r="U69" s="150"/>
      <c r="V69" s="150"/>
      <c r="W69" s="148"/>
      <c r="X69" s="148"/>
      <c r="Y69" s="151"/>
      <c r="Z69" s="152"/>
      <c r="AA69" s="150"/>
      <c r="AB69" s="149"/>
      <c r="AC69" s="153"/>
      <c r="AD69" s="154"/>
      <c r="AE69" s="155"/>
    </row>
    <row r="70" spans="1:31" ht="12" customHeight="1">
      <c r="A70" s="145"/>
      <c r="B70" s="145"/>
      <c r="C70" s="145">
        <v>4</v>
      </c>
      <c r="D70" s="146"/>
      <c r="R70" s="149"/>
      <c r="S70" s="150"/>
      <c r="T70" s="150"/>
      <c r="U70" s="150"/>
      <c r="V70" s="150"/>
      <c r="W70" s="148"/>
      <c r="X70" s="148"/>
      <c r="Y70" s="151"/>
      <c r="Z70" s="152"/>
      <c r="AA70" s="150"/>
      <c r="AB70" s="149"/>
      <c r="AC70" s="153"/>
      <c r="AD70" s="154"/>
      <c r="AE70" s="155"/>
    </row>
    <row r="71" spans="1:31" ht="12" customHeight="1">
      <c r="A71" s="145"/>
      <c r="B71" s="145"/>
      <c r="C71" s="145">
        <v>4</v>
      </c>
      <c r="D71" s="146"/>
      <c r="R71" s="149"/>
      <c r="S71" s="150"/>
      <c r="T71" s="150"/>
      <c r="U71" s="150"/>
      <c r="V71" s="150"/>
      <c r="W71" s="148"/>
      <c r="X71" s="148"/>
      <c r="Y71" s="151"/>
      <c r="Z71" s="152"/>
      <c r="AA71" s="150"/>
      <c r="AB71" s="149"/>
      <c r="AC71" s="153"/>
      <c r="AD71" s="154"/>
      <c r="AE71" s="155"/>
    </row>
    <row r="72" spans="1:31" ht="12" customHeight="1">
      <c r="A72" s="145"/>
      <c r="B72" s="145" t="s">
        <v>1508</v>
      </c>
      <c r="C72" s="145">
        <v>3</v>
      </c>
      <c r="D72" s="146"/>
      <c r="R72" s="149"/>
      <c r="S72" s="150"/>
      <c r="T72" s="150"/>
      <c r="U72" s="150"/>
      <c r="V72" s="150"/>
      <c r="W72" s="148"/>
      <c r="X72" s="148"/>
      <c r="Y72" s="151"/>
      <c r="Z72" s="152"/>
      <c r="AA72" s="150"/>
      <c r="AB72" s="149"/>
      <c r="AC72" s="153"/>
      <c r="AD72" s="154"/>
      <c r="AE72" s="155"/>
    </row>
    <row r="73" spans="1:31" ht="12" customHeight="1">
      <c r="A73" s="145"/>
      <c r="B73" s="145"/>
      <c r="C73" s="145">
        <v>4</v>
      </c>
      <c r="D73" s="146"/>
      <c r="R73" s="149"/>
      <c r="S73" s="150"/>
      <c r="T73" s="150"/>
      <c r="U73" s="150"/>
      <c r="V73" s="150"/>
      <c r="W73" s="148"/>
      <c r="X73" s="148"/>
      <c r="Y73" s="151"/>
      <c r="Z73" s="152"/>
      <c r="AA73" s="150"/>
      <c r="AB73" s="149"/>
      <c r="AC73" s="153"/>
      <c r="AD73" s="154"/>
      <c r="AE73" s="155"/>
    </row>
    <row r="74" spans="1:31" ht="12" customHeight="1">
      <c r="A74" s="145"/>
      <c r="B74" s="145"/>
      <c r="C74" s="145">
        <v>4</v>
      </c>
      <c r="D74" s="146"/>
      <c r="R74" s="149"/>
      <c r="S74" s="150"/>
      <c r="T74" s="150"/>
      <c r="U74" s="150"/>
      <c r="V74" s="150"/>
      <c r="W74" s="148"/>
      <c r="X74" s="148"/>
      <c r="Y74" s="151"/>
      <c r="Z74" s="152"/>
      <c r="AA74" s="150"/>
      <c r="AB74" s="149"/>
      <c r="AC74" s="153"/>
      <c r="AD74" s="154"/>
      <c r="AE74" s="155"/>
    </row>
    <row r="75" spans="1:31" ht="12" customHeight="1">
      <c r="A75" s="145"/>
      <c r="B75" s="145"/>
      <c r="C75" s="145">
        <v>4</v>
      </c>
      <c r="D75" s="146"/>
      <c r="R75" s="149"/>
      <c r="S75" s="150"/>
      <c r="T75" s="150"/>
      <c r="U75" s="150"/>
      <c r="V75" s="150"/>
      <c r="W75" s="148"/>
      <c r="X75" s="148"/>
      <c r="Y75" s="151"/>
      <c r="Z75" s="152"/>
      <c r="AA75" s="150"/>
      <c r="AB75" s="149"/>
      <c r="AC75" s="153"/>
      <c r="AD75" s="154"/>
      <c r="AE75" s="155"/>
    </row>
    <row r="76" spans="1:31" ht="12" customHeight="1">
      <c r="A76" s="145"/>
      <c r="B76" s="145" t="s">
        <v>1508</v>
      </c>
      <c r="C76" s="145">
        <v>2</v>
      </c>
      <c r="D76" s="146"/>
      <c r="R76" s="149"/>
      <c r="S76" s="150"/>
      <c r="T76" s="150"/>
      <c r="U76" s="150"/>
      <c r="V76" s="150"/>
      <c r="W76" s="148"/>
      <c r="X76" s="148"/>
      <c r="Y76" s="151"/>
      <c r="Z76" s="152"/>
      <c r="AA76" s="150"/>
      <c r="AB76" s="149"/>
      <c r="AC76" s="153"/>
      <c r="AD76" s="154"/>
      <c r="AE76" s="155"/>
    </row>
    <row r="77" spans="1:31" ht="12" customHeight="1">
      <c r="A77" s="145"/>
      <c r="B77" s="145"/>
      <c r="C77" s="145">
        <v>3</v>
      </c>
      <c r="D77" s="146"/>
      <c r="R77" s="149"/>
      <c r="S77" s="150"/>
      <c r="T77" s="150"/>
      <c r="U77" s="150"/>
      <c r="V77" s="150"/>
      <c r="W77" s="148"/>
      <c r="X77" s="148"/>
      <c r="Y77" s="151"/>
      <c r="Z77" s="152"/>
      <c r="AA77" s="150"/>
      <c r="AB77" s="149"/>
      <c r="AC77" s="153"/>
      <c r="AD77" s="154"/>
      <c r="AE77" s="155"/>
    </row>
    <row r="78" spans="1:31" ht="12" customHeight="1">
      <c r="A78" s="145"/>
      <c r="B78" s="145"/>
      <c r="C78" s="145">
        <v>3</v>
      </c>
      <c r="D78" s="146"/>
      <c r="R78" s="149"/>
      <c r="S78" s="150"/>
      <c r="T78" s="150"/>
      <c r="U78" s="150"/>
      <c r="V78" s="150"/>
      <c r="W78" s="148"/>
      <c r="X78" s="148"/>
      <c r="Y78" s="151"/>
      <c r="Z78" s="152"/>
      <c r="AA78" s="150"/>
      <c r="AB78" s="149"/>
      <c r="AC78" s="153"/>
      <c r="AD78" s="154"/>
      <c r="AE78" s="155"/>
    </row>
    <row r="79" spans="1:31" ht="12" customHeight="1">
      <c r="A79" s="145"/>
      <c r="B79" s="145"/>
      <c r="C79" s="145">
        <v>3</v>
      </c>
      <c r="D79" s="146"/>
      <c r="R79" s="149"/>
      <c r="S79" s="150"/>
      <c r="T79" s="150"/>
      <c r="U79" s="150"/>
      <c r="V79" s="150"/>
      <c r="W79" s="148"/>
      <c r="X79" s="148"/>
      <c r="Y79" s="151"/>
      <c r="Z79" s="152"/>
      <c r="AA79" s="150"/>
      <c r="AB79" s="149"/>
      <c r="AC79" s="153"/>
      <c r="AD79" s="154"/>
      <c r="AE79" s="155"/>
    </row>
    <row r="80" spans="1:31" ht="12" customHeight="1">
      <c r="A80" s="145"/>
      <c r="B80" s="145"/>
      <c r="C80" s="145">
        <v>3</v>
      </c>
      <c r="D80" s="146"/>
      <c r="R80" s="149"/>
      <c r="S80" s="150"/>
      <c r="T80" s="150"/>
      <c r="U80" s="150"/>
      <c r="V80" s="150"/>
      <c r="W80" s="148"/>
      <c r="X80" s="148"/>
      <c r="Y80" s="151"/>
      <c r="Z80" s="152"/>
      <c r="AA80" s="150"/>
      <c r="AB80" s="149"/>
      <c r="AC80" s="153"/>
      <c r="AD80" s="154"/>
      <c r="AE80" s="155"/>
    </row>
    <row r="81" spans="1:31" ht="12" customHeight="1">
      <c r="A81" s="145"/>
      <c r="B81" s="145"/>
      <c r="C81" s="145">
        <v>3</v>
      </c>
      <c r="D81" s="146"/>
      <c r="R81" s="149"/>
      <c r="S81" s="150"/>
      <c r="T81" s="150"/>
      <c r="U81" s="150"/>
      <c r="V81" s="150"/>
      <c r="W81" s="148"/>
      <c r="X81" s="148"/>
      <c r="Y81" s="151"/>
      <c r="Z81" s="152"/>
      <c r="AA81" s="150"/>
      <c r="AB81" s="149"/>
      <c r="AC81" s="153"/>
      <c r="AD81" s="154"/>
      <c r="AE81" s="155"/>
    </row>
    <row r="82" spans="1:31" ht="12" customHeight="1">
      <c r="A82" s="145"/>
      <c r="B82" s="145" t="s">
        <v>1508</v>
      </c>
      <c r="C82" s="145">
        <v>2</v>
      </c>
      <c r="D82" s="146"/>
      <c r="R82" s="149"/>
      <c r="S82" s="150"/>
      <c r="T82" s="150"/>
      <c r="U82" s="150"/>
      <c r="V82" s="150"/>
      <c r="W82" s="148"/>
      <c r="X82" s="148"/>
      <c r="Y82" s="151"/>
      <c r="Z82" s="152"/>
      <c r="AA82" s="150"/>
      <c r="AB82" s="149"/>
      <c r="AC82" s="153"/>
      <c r="AD82" s="154"/>
      <c r="AE82" s="213"/>
    </row>
    <row r="83" spans="1:31" ht="12" customHeight="1">
      <c r="A83" s="145"/>
      <c r="B83" s="145" t="s">
        <v>1508</v>
      </c>
      <c r="C83" s="145">
        <v>3</v>
      </c>
      <c r="D83" s="146"/>
      <c r="R83" s="149"/>
      <c r="S83" s="150"/>
      <c r="T83" s="150"/>
      <c r="U83" s="150"/>
      <c r="V83" s="150"/>
      <c r="W83" s="148"/>
      <c r="X83" s="148"/>
      <c r="Y83" s="151"/>
      <c r="Z83" s="152"/>
      <c r="AA83" s="150"/>
      <c r="AB83" s="149"/>
      <c r="AC83" s="153"/>
      <c r="AD83" s="154"/>
      <c r="AE83" s="155"/>
    </row>
    <row r="84" spans="1:31" ht="12" customHeight="1">
      <c r="A84" s="145"/>
      <c r="B84" s="145"/>
      <c r="C84" s="145">
        <v>4</v>
      </c>
      <c r="D84" s="146"/>
      <c r="R84" s="149"/>
      <c r="S84" s="150"/>
      <c r="T84" s="150"/>
      <c r="U84" s="150"/>
      <c r="V84" s="150"/>
      <c r="W84" s="148"/>
      <c r="X84" s="148"/>
      <c r="Y84" s="151"/>
      <c r="Z84" s="152"/>
      <c r="AA84" s="150"/>
      <c r="AB84" s="149"/>
      <c r="AC84" s="153"/>
      <c r="AD84" s="154"/>
      <c r="AE84" s="155"/>
    </row>
    <row r="85" spans="1:31" ht="12" customHeight="1">
      <c r="A85" s="145"/>
      <c r="B85" s="145"/>
      <c r="C85" s="145">
        <v>4</v>
      </c>
      <c r="D85" s="146"/>
      <c r="R85" s="149"/>
      <c r="S85" s="150"/>
      <c r="T85" s="150"/>
      <c r="U85" s="150"/>
      <c r="V85" s="150"/>
      <c r="W85" s="148"/>
      <c r="X85" s="148"/>
      <c r="Y85" s="151"/>
      <c r="Z85" s="152"/>
      <c r="AA85" s="150"/>
      <c r="AB85" s="149"/>
      <c r="AC85" s="153"/>
      <c r="AD85" s="154"/>
      <c r="AE85" s="155"/>
    </row>
    <row r="86" spans="1:31" ht="12" customHeight="1">
      <c r="A86" s="145"/>
      <c r="B86" s="145"/>
      <c r="C86" s="145">
        <v>4</v>
      </c>
      <c r="D86" s="146"/>
      <c r="R86" s="149"/>
      <c r="S86" s="150"/>
      <c r="T86" s="150"/>
      <c r="U86" s="150"/>
      <c r="V86" s="150"/>
      <c r="W86" s="148"/>
      <c r="X86" s="148"/>
      <c r="Y86" s="151"/>
      <c r="Z86" s="152"/>
      <c r="AA86" s="150"/>
      <c r="AB86" s="149"/>
      <c r="AC86" s="153"/>
      <c r="AD86" s="154"/>
      <c r="AE86" s="155"/>
    </row>
    <row r="87" spans="1:31" ht="12" customHeight="1">
      <c r="A87" s="145"/>
      <c r="B87" s="145"/>
      <c r="C87" s="145">
        <v>3</v>
      </c>
      <c r="D87" s="146"/>
      <c r="R87" s="149"/>
      <c r="S87" s="150"/>
      <c r="T87" s="150"/>
      <c r="U87" s="150"/>
      <c r="V87" s="150"/>
      <c r="W87" s="148"/>
      <c r="X87" s="148"/>
      <c r="Y87" s="151"/>
      <c r="Z87" s="152"/>
      <c r="AA87" s="150"/>
      <c r="AB87" s="149"/>
      <c r="AC87" s="153"/>
      <c r="AD87" s="154"/>
      <c r="AE87" s="185"/>
    </row>
    <row r="88" spans="1:31" ht="12" customHeight="1">
      <c r="A88" s="145"/>
      <c r="B88" s="145" t="s">
        <v>1508</v>
      </c>
      <c r="C88" s="145">
        <v>3</v>
      </c>
      <c r="D88" s="146"/>
      <c r="R88" s="149"/>
      <c r="S88" s="150"/>
      <c r="T88" s="150"/>
      <c r="U88" s="150"/>
      <c r="V88" s="150"/>
      <c r="W88" s="148"/>
      <c r="X88" s="148"/>
      <c r="Y88" s="151"/>
      <c r="Z88" s="152"/>
      <c r="AA88" s="150"/>
      <c r="AB88" s="149"/>
      <c r="AC88" s="153"/>
      <c r="AD88" s="154"/>
      <c r="AE88" s="155"/>
    </row>
    <row r="89" spans="1:31" ht="12" customHeight="1">
      <c r="A89" s="145"/>
      <c r="B89" s="145"/>
      <c r="C89" s="145">
        <v>4</v>
      </c>
      <c r="D89" s="146"/>
      <c r="R89" s="149"/>
      <c r="S89" s="150"/>
      <c r="T89" s="150"/>
      <c r="U89" s="150"/>
      <c r="V89" s="150"/>
      <c r="W89" s="148"/>
      <c r="X89" s="148"/>
      <c r="Y89" s="151"/>
      <c r="Z89" s="152"/>
      <c r="AA89" s="150"/>
      <c r="AB89" s="149"/>
      <c r="AC89" s="153"/>
      <c r="AD89" s="154"/>
      <c r="AE89" s="155"/>
    </row>
    <row r="90" spans="1:31" ht="12" customHeight="1">
      <c r="A90" s="145"/>
      <c r="B90" s="145"/>
      <c r="C90" s="145">
        <v>4</v>
      </c>
      <c r="D90" s="146"/>
      <c r="R90" s="149"/>
      <c r="S90" s="150"/>
      <c r="T90" s="150"/>
      <c r="U90" s="150"/>
      <c r="V90" s="150"/>
      <c r="W90" s="148"/>
      <c r="X90" s="148"/>
      <c r="Y90" s="151"/>
      <c r="Z90" s="152"/>
      <c r="AA90" s="150"/>
      <c r="AB90" s="149"/>
      <c r="AC90" s="153"/>
      <c r="AD90" s="154"/>
      <c r="AE90" s="155"/>
    </row>
    <row r="91" spans="1:31" ht="12" customHeight="1">
      <c r="A91" s="145"/>
      <c r="B91" s="145"/>
      <c r="C91" s="145">
        <v>4</v>
      </c>
      <c r="D91" s="146"/>
      <c r="R91" s="149"/>
      <c r="S91" s="150"/>
      <c r="T91" s="150"/>
      <c r="U91" s="150"/>
      <c r="V91" s="150"/>
      <c r="W91" s="148"/>
      <c r="X91" s="148"/>
      <c r="Y91" s="151"/>
      <c r="Z91" s="152"/>
      <c r="AA91" s="150"/>
      <c r="AB91" s="149"/>
      <c r="AC91" s="153"/>
      <c r="AD91" s="154"/>
      <c r="AE91" s="155"/>
    </row>
    <row r="92" spans="1:31" ht="12" customHeight="1">
      <c r="A92" s="145"/>
      <c r="B92" s="145"/>
      <c r="C92" s="145">
        <v>4</v>
      </c>
      <c r="D92" s="146"/>
      <c r="R92" s="149"/>
      <c r="S92" s="150"/>
      <c r="T92" s="150"/>
      <c r="U92" s="150"/>
      <c r="V92" s="150"/>
      <c r="W92" s="148"/>
      <c r="X92" s="148"/>
      <c r="Y92" s="151"/>
      <c r="Z92" s="152"/>
      <c r="AA92" s="150"/>
      <c r="AB92" s="149"/>
      <c r="AC92" s="153"/>
      <c r="AD92" s="154"/>
      <c r="AE92" s="155"/>
    </row>
    <row r="93" spans="1:31" ht="12" customHeight="1">
      <c r="A93" s="145"/>
      <c r="B93" s="145"/>
      <c r="C93" s="145">
        <v>4</v>
      </c>
      <c r="D93" s="146"/>
      <c r="R93" s="149"/>
      <c r="S93" s="150"/>
      <c r="T93" s="150"/>
      <c r="U93" s="150"/>
      <c r="V93" s="150"/>
      <c r="W93" s="148"/>
      <c r="X93" s="148"/>
      <c r="Y93" s="151"/>
      <c r="Z93" s="152"/>
      <c r="AA93" s="150"/>
      <c r="AB93" s="149"/>
      <c r="AC93" s="153"/>
      <c r="AD93" s="154"/>
      <c r="AE93" s="155"/>
    </row>
    <row r="94" spans="1:31" ht="12" customHeight="1">
      <c r="A94" s="145"/>
      <c r="B94" s="145" t="s">
        <v>1508</v>
      </c>
      <c r="C94" s="145">
        <v>2</v>
      </c>
      <c r="D94" s="146"/>
      <c r="R94" s="149"/>
      <c r="S94" s="150"/>
      <c r="T94" s="150"/>
      <c r="U94" s="150"/>
      <c r="V94" s="150"/>
      <c r="W94" s="148"/>
      <c r="X94" s="148"/>
      <c r="Y94" s="151"/>
      <c r="Z94" s="152"/>
      <c r="AA94" s="150"/>
      <c r="AB94" s="149"/>
      <c r="AC94" s="153"/>
      <c r="AD94" s="154"/>
      <c r="AE94" s="155"/>
    </row>
    <row r="95" spans="1:31" ht="12" customHeight="1">
      <c r="A95" s="145"/>
      <c r="B95" s="145" t="s">
        <v>1508</v>
      </c>
      <c r="C95" s="145">
        <v>3</v>
      </c>
      <c r="D95" s="146"/>
      <c r="R95" s="149"/>
      <c r="S95" s="150"/>
      <c r="T95" s="150"/>
      <c r="U95" s="150"/>
      <c r="V95" s="150"/>
      <c r="W95" s="148"/>
      <c r="X95" s="148"/>
      <c r="Y95" s="151"/>
      <c r="Z95" s="152"/>
      <c r="AA95" s="150"/>
      <c r="AB95" s="149"/>
      <c r="AC95" s="153"/>
      <c r="AD95" s="154"/>
      <c r="AE95" s="155"/>
    </row>
    <row r="96" spans="1:31" ht="12" customHeight="1">
      <c r="A96" s="145"/>
      <c r="B96" s="145"/>
      <c r="C96" s="145">
        <v>4</v>
      </c>
      <c r="D96" s="146"/>
      <c r="R96" s="149"/>
      <c r="S96" s="150"/>
      <c r="T96" s="150"/>
      <c r="U96" s="150"/>
      <c r="V96" s="150"/>
      <c r="W96" s="148"/>
      <c r="X96" s="148"/>
      <c r="Y96" s="151"/>
      <c r="Z96" s="152"/>
      <c r="AA96" s="150"/>
      <c r="AB96" s="149"/>
      <c r="AC96" s="153"/>
      <c r="AD96" s="154"/>
      <c r="AE96" s="155"/>
    </row>
    <row r="97" spans="1:31" ht="12" customHeight="1">
      <c r="A97" s="145"/>
      <c r="B97" s="145"/>
      <c r="C97" s="145">
        <v>4</v>
      </c>
      <c r="D97" s="146"/>
      <c r="R97" s="149"/>
      <c r="S97" s="150"/>
      <c r="T97" s="150"/>
      <c r="U97" s="150"/>
      <c r="V97" s="150"/>
      <c r="W97" s="148"/>
      <c r="X97" s="148"/>
      <c r="Y97" s="151"/>
      <c r="Z97" s="152"/>
      <c r="AA97" s="150"/>
      <c r="AB97" s="149"/>
      <c r="AC97" s="153"/>
      <c r="AD97" s="154"/>
      <c r="AE97" s="155"/>
    </row>
    <row r="98" spans="1:31" ht="12" customHeight="1">
      <c r="A98" s="145"/>
      <c r="B98" s="145"/>
      <c r="C98" s="145">
        <v>4</v>
      </c>
      <c r="D98" s="146"/>
      <c r="R98" s="149"/>
      <c r="S98" s="150"/>
      <c r="T98" s="150"/>
      <c r="U98" s="150"/>
      <c r="V98" s="150"/>
      <c r="W98" s="148"/>
      <c r="X98" s="148"/>
      <c r="Y98" s="151"/>
      <c r="Z98" s="152"/>
      <c r="AA98" s="150"/>
      <c r="AB98" s="149"/>
      <c r="AC98" s="153"/>
      <c r="AD98" s="154"/>
      <c r="AE98" s="155"/>
    </row>
    <row r="99" spans="1:31" ht="12" customHeight="1">
      <c r="A99" s="145"/>
      <c r="B99" s="145" t="s">
        <v>1508</v>
      </c>
      <c r="C99" s="145">
        <v>3</v>
      </c>
      <c r="D99" s="146"/>
      <c r="R99" s="149"/>
      <c r="S99" s="150"/>
      <c r="T99" s="150"/>
      <c r="U99" s="150"/>
      <c r="V99" s="150"/>
      <c r="W99" s="148"/>
      <c r="X99" s="148"/>
      <c r="Y99" s="151"/>
      <c r="Z99" s="152"/>
      <c r="AA99" s="150"/>
      <c r="AB99" s="149"/>
      <c r="AC99" s="153"/>
      <c r="AD99" s="154"/>
      <c r="AE99" s="155"/>
    </row>
    <row r="100" spans="1:31" ht="12" customHeight="1">
      <c r="A100" s="145"/>
      <c r="B100" s="145"/>
      <c r="C100" s="145">
        <v>4</v>
      </c>
      <c r="D100" s="146"/>
      <c r="R100" s="149"/>
      <c r="S100" s="150"/>
      <c r="T100" s="150"/>
      <c r="U100" s="150"/>
      <c r="V100" s="150"/>
      <c r="W100" s="148"/>
      <c r="X100" s="148"/>
      <c r="Y100" s="151"/>
      <c r="Z100" s="152"/>
      <c r="AA100" s="150"/>
      <c r="AB100" s="149"/>
      <c r="AC100" s="153"/>
      <c r="AD100" s="154"/>
      <c r="AE100" s="155"/>
    </row>
    <row r="101" spans="1:31" ht="12" customHeight="1">
      <c r="A101" s="145"/>
      <c r="B101" s="145"/>
      <c r="C101" s="145">
        <v>4</v>
      </c>
      <c r="D101" s="146"/>
      <c r="R101" s="149"/>
      <c r="S101" s="150"/>
      <c r="T101" s="150"/>
      <c r="U101" s="150"/>
      <c r="V101" s="150"/>
      <c r="W101" s="148"/>
      <c r="X101" s="148"/>
      <c r="Y101" s="151"/>
      <c r="Z101" s="152"/>
      <c r="AA101" s="150"/>
      <c r="AB101" s="149"/>
      <c r="AC101" s="153"/>
      <c r="AD101" s="154"/>
      <c r="AE101" s="155"/>
    </row>
    <row r="102" spans="1:31" ht="12" customHeight="1">
      <c r="A102" s="145"/>
      <c r="B102" s="145" t="s">
        <v>1508</v>
      </c>
      <c r="C102" s="145">
        <v>2</v>
      </c>
      <c r="D102" s="146"/>
      <c r="R102" s="149"/>
      <c r="S102" s="150"/>
      <c r="T102" s="150"/>
      <c r="U102" s="150"/>
      <c r="V102" s="150"/>
      <c r="W102" s="148"/>
      <c r="X102" s="148"/>
      <c r="Y102" s="151"/>
      <c r="Z102" s="152"/>
      <c r="AA102" s="150"/>
      <c r="AB102" s="149"/>
      <c r="AC102" s="153"/>
      <c r="AD102" s="154"/>
      <c r="AE102" s="155"/>
    </row>
    <row r="103" spans="1:31" ht="12" customHeight="1">
      <c r="A103" s="145"/>
      <c r="B103" s="145"/>
      <c r="C103" s="145">
        <v>3</v>
      </c>
      <c r="D103" s="146"/>
      <c r="R103" s="149"/>
      <c r="S103" s="150"/>
      <c r="T103" s="150"/>
      <c r="U103" s="150"/>
      <c r="V103" s="150"/>
      <c r="W103" s="148"/>
      <c r="X103" s="148"/>
      <c r="Y103" s="151"/>
      <c r="Z103" s="152"/>
      <c r="AA103" s="150"/>
      <c r="AB103" s="149"/>
      <c r="AC103" s="153"/>
      <c r="AD103" s="154"/>
      <c r="AE103" s="155"/>
    </row>
    <row r="104" spans="1:31" ht="12" customHeight="1">
      <c r="A104" s="145"/>
      <c r="B104" s="145"/>
      <c r="C104" s="145">
        <v>3</v>
      </c>
      <c r="D104" s="146"/>
      <c r="R104" s="149"/>
      <c r="S104" s="150"/>
      <c r="T104" s="150"/>
      <c r="U104" s="150"/>
      <c r="V104" s="150"/>
      <c r="W104" s="148"/>
      <c r="X104" s="148"/>
      <c r="Y104" s="151"/>
      <c r="Z104" s="152"/>
      <c r="AA104" s="150"/>
      <c r="AB104" s="149"/>
      <c r="AC104" s="153"/>
      <c r="AD104" s="154"/>
      <c r="AE104" s="155"/>
    </row>
    <row r="105" spans="1:31" ht="12" customHeight="1">
      <c r="A105" s="145"/>
      <c r="B105" s="145"/>
      <c r="C105" s="145">
        <v>3</v>
      </c>
      <c r="D105" s="146"/>
      <c r="R105" s="149"/>
      <c r="S105" s="150"/>
      <c r="T105" s="150"/>
      <c r="U105" s="150"/>
      <c r="V105" s="150"/>
      <c r="W105" s="148"/>
      <c r="X105" s="148"/>
      <c r="Y105" s="151"/>
      <c r="Z105" s="152"/>
      <c r="AA105" s="150"/>
      <c r="AB105" s="149"/>
      <c r="AC105" s="153"/>
      <c r="AD105" s="154"/>
      <c r="AE105" s="155"/>
    </row>
    <row r="106" spans="1:31" ht="12" customHeight="1">
      <c r="A106" s="145"/>
      <c r="B106" s="145"/>
      <c r="C106" s="145">
        <v>3</v>
      </c>
      <c r="D106" s="146"/>
      <c r="R106" s="149"/>
      <c r="S106" s="150"/>
      <c r="T106" s="150"/>
      <c r="U106" s="150"/>
      <c r="V106" s="150"/>
      <c r="W106" s="148"/>
      <c r="X106" s="148"/>
      <c r="Y106" s="151"/>
      <c r="Z106" s="152"/>
      <c r="AA106" s="150"/>
      <c r="AB106" s="149"/>
      <c r="AC106" s="153"/>
      <c r="AD106" s="154"/>
      <c r="AE106" s="155"/>
    </row>
    <row r="107" spans="1:31" ht="12" customHeight="1">
      <c r="A107" s="145"/>
      <c r="B107" s="145"/>
      <c r="C107" s="145">
        <v>2</v>
      </c>
      <c r="D107" s="146"/>
      <c r="R107" s="149"/>
      <c r="S107" s="150"/>
      <c r="T107" s="150"/>
      <c r="U107" s="150"/>
      <c r="V107" s="150"/>
      <c r="W107" s="148"/>
      <c r="X107" s="148"/>
      <c r="Y107" s="151"/>
      <c r="Z107" s="152"/>
      <c r="AA107" s="150"/>
      <c r="AB107" s="149"/>
      <c r="AC107" s="153"/>
      <c r="AD107" s="154"/>
      <c r="AE107" s="185"/>
    </row>
    <row r="108" spans="1:31" ht="12" customHeight="1">
      <c r="A108" s="160"/>
      <c r="B108" s="160"/>
      <c r="C108" s="160"/>
      <c r="D108" s="161"/>
      <c r="E108" s="162"/>
      <c r="F108" s="162"/>
      <c r="G108" s="162"/>
      <c r="H108" s="162"/>
      <c r="I108" s="162"/>
      <c r="J108" s="162"/>
      <c r="K108" s="162"/>
      <c r="L108" s="162"/>
      <c r="M108" s="162"/>
      <c r="N108" s="162"/>
      <c r="O108" s="162"/>
      <c r="P108" s="163"/>
      <c r="Q108" s="163"/>
      <c r="R108" s="164"/>
      <c r="S108" s="165"/>
      <c r="T108" s="165"/>
      <c r="U108" s="165"/>
      <c r="V108" s="165"/>
      <c r="W108" s="163"/>
      <c r="X108" s="163"/>
      <c r="Y108" s="166"/>
      <c r="Z108" s="167"/>
      <c r="AA108" s="165"/>
      <c r="AB108" s="164"/>
      <c r="AC108" s="168"/>
      <c r="AD108" s="169"/>
      <c r="AE108" s="170"/>
    </row>
  </sheetData>
  <sheetProtection formatCells="0" formatColumns="0" formatRows="0" insertColumns="0" insertRows="0" insertHyperlinks="0" deleteColumns="0" deleteRows="0" sort="0" autoFilter="0" pivotTables="0"/>
  <dataConsolidate/>
  <mergeCells count="39">
    <mergeCell ref="BH3:BK3"/>
    <mergeCell ref="BH2:BK2"/>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 ref="AC3:AC4"/>
    <mergeCell ref="AE3:AE4"/>
    <mergeCell ref="AD3:AD4"/>
    <mergeCell ref="AB3:AB4"/>
    <mergeCell ref="A3:A4"/>
    <mergeCell ref="B3:B4"/>
    <mergeCell ref="C3:C4"/>
    <mergeCell ref="D3:D4"/>
    <mergeCell ref="E3:N4"/>
    <mergeCell ref="BD3:BG3"/>
    <mergeCell ref="BD2:BG2"/>
    <mergeCell ref="AZ3:BC3"/>
    <mergeCell ref="AZ2:BC2"/>
    <mergeCell ref="AJ3:AM3"/>
    <mergeCell ref="AJ2:AM2"/>
    <mergeCell ref="AN3:AQ3"/>
    <mergeCell ref="AN2:AQ2"/>
    <mergeCell ref="AR3:AU3"/>
    <mergeCell ref="AR2:AU2"/>
    <mergeCell ref="AV3:AY3"/>
    <mergeCell ref="AV2:AY2"/>
  </mergeCells>
  <phoneticPr fontId="4" type="noConversion"/>
  <conditionalFormatting sqref="D5:AD40">
    <cfRule type="expression" dxfId="1" priority="2">
      <formula>($B5="G")</formula>
    </cfRule>
    <cfRule type="expression" dxfId="0" priority="1">
      <formula>($AE5=1)</formula>
    </cfRule>
  </conditionalFormatting>
  <hyperlinks>
    <hyperlink ref="AF1:BJ1" r:id="rId1" display="https://xlworks.net/xlgantt-project-scheduler/" xr:uid="{C2EB901C-5909-47B6-924C-CB88F28D6D59}"/>
  </hyperlinks>
  <pageMargins left="0.19685039370078741" right="0.23622047244094491" top="0.43307086614173229" bottom="0.23622047244094491" header="0.23622047244094491" footer="0.19685039370078741"/>
  <pageSetup paperSize="9" scale="6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1511</v>
      </c>
      <c r="B1" s="2"/>
      <c r="C1" s="2"/>
      <c r="D1" s="2"/>
      <c r="E1" s="2"/>
      <c r="F1" s="2"/>
      <c r="G1" s="2"/>
      <c r="H1" s="2"/>
      <c r="I1" s="2"/>
      <c r="J1" s="2"/>
      <c r="K1" s="2"/>
      <c r="L1" s="285"/>
      <c r="M1" s="286"/>
      <c r="N1" s="286"/>
      <c r="O1" s="3"/>
      <c r="P1" s="3"/>
      <c r="Q1" s="3"/>
    </row>
    <row r="2" spans="1:17" s="7" customFormat="1" ht="12.75">
      <c r="A2" s="5" t="s">
        <v>1458</v>
      </c>
      <c r="B2" s="6"/>
    </row>
    <row r="3" spans="1:17" s="7" customFormat="1" ht="12.75">
      <c r="A3" s="5" t="s">
        <v>1459</v>
      </c>
      <c r="B3" s="6"/>
    </row>
    <row r="4" spans="1:17" s="7" customFormat="1" ht="12.75">
      <c r="A4" s="287"/>
      <c r="B4" s="287"/>
      <c r="C4" s="8"/>
      <c r="D4" s="9"/>
      <c r="E4" s="9"/>
      <c r="F4" s="9"/>
    </row>
    <row r="5" spans="1:17" s="15" customFormat="1" ht="12.75">
      <c r="A5" s="10"/>
      <c r="B5" s="11"/>
      <c r="C5" s="12"/>
      <c r="D5" s="13"/>
      <c r="E5" s="14"/>
      <c r="F5" s="14"/>
      <c r="G5" s="14"/>
    </row>
    <row r="6" spans="1:17" s="15" customFormat="1" ht="12.75">
      <c r="A6" s="16" t="s">
        <v>1460</v>
      </c>
      <c r="B6" s="17">
        <v>266</v>
      </c>
      <c r="C6" s="15" t="s">
        <v>0</v>
      </c>
      <c r="D6" s="284" t="s">
        <v>1461</v>
      </c>
      <c r="E6" s="284"/>
      <c r="F6" s="284"/>
      <c r="G6" s="284"/>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1462</v>
      </c>
      <c r="B9" s="17">
        <v>6</v>
      </c>
      <c r="C9" s="15" t="s">
        <v>0</v>
      </c>
      <c r="D9" s="283" t="s">
        <v>1463</v>
      </c>
      <c r="E9" s="283"/>
      <c r="F9" s="283"/>
      <c r="G9" s="283"/>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1456</v>
      </c>
      <c r="B12" s="17">
        <v>0</v>
      </c>
      <c r="C12" s="15" t="s">
        <v>0</v>
      </c>
      <c r="D12" s="288" t="s">
        <v>1457</v>
      </c>
      <c r="E12" s="283"/>
      <c r="F12" s="283"/>
      <c r="G12" s="283"/>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1464</v>
      </c>
      <c r="B15" s="17"/>
      <c r="C15" s="15" t="s">
        <v>0</v>
      </c>
      <c r="D15" s="283" t="s">
        <v>1465</v>
      </c>
      <c r="E15" s="283"/>
      <c r="F15" s="283"/>
      <c r="G15" s="283"/>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1466</v>
      </c>
      <c r="B18" s="39">
        <v>2.2556390977443608E-2</v>
      </c>
      <c r="D18" s="283" t="s">
        <v>1467</v>
      </c>
      <c r="E18" s="283"/>
      <c r="F18" s="283"/>
      <c r="G18" s="283"/>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1468</v>
      </c>
      <c r="B21" s="39">
        <v>0</v>
      </c>
      <c r="D21" s="283" t="s">
        <v>1469</v>
      </c>
      <c r="E21" s="283"/>
      <c r="F21" s="283"/>
      <c r="G21" s="283"/>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1470</v>
      </c>
      <c r="B24" s="49">
        <f>ACTUAL_RATE-PLANNED_RATE</f>
        <v>-2.2556390977443608E-2</v>
      </c>
      <c r="D24" s="284" t="s">
        <v>1471</v>
      </c>
      <c r="E24" s="284"/>
      <c r="F24" s="284"/>
      <c r="G24" s="284"/>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15"/>
    <col min="7" max="12" width="9.125" style="92"/>
    <col min="13" max="16384" width="9.125" style="136"/>
  </cols>
  <sheetData>
    <row r="1" spans="2:15" ht="36.950000000000003" customHeight="1">
      <c r="B1" s="62" t="s">
        <v>1554</v>
      </c>
    </row>
    <row r="2" spans="2:15">
      <c r="B2" s="136" t="s">
        <v>561</v>
      </c>
    </row>
    <row r="3" spans="2:15">
      <c r="B3" s="136" t="s">
        <v>562</v>
      </c>
    </row>
    <row r="4" spans="2:15">
      <c r="B4" s="223">
        <v>21</v>
      </c>
      <c r="C4" s="136" t="s">
        <v>563</v>
      </c>
    </row>
    <row r="6" spans="2:15" ht="30">
      <c r="B6" s="63" t="s">
        <v>559</v>
      </c>
      <c r="C6" s="91" t="s">
        <v>560</v>
      </c>
      <c r="D6" s="91" t="s">
        <v>1</v>
      </c>
      <c r="E6" s="91" t="s">
        <v>2</v>
      </c>
      <c r="F6" s="289" t="s">
        <v>564</v>
      </c>
      <c r="G6" s="290"/>
      <c r="H6" s="290"/>
      <c r="I6" s="290"/>
      <c r="J6" s="290"/>
      <c r="K6" s="290"/>
      <c r="L6" s="290"/>
      <c r="M6" s="290"/>
      <c r="N6" s="290"/>
      <c r="O6" s="290"/>
    </row>
    <row r="7" spans="2:15" ht="16.5">
      <c r="B7" s="137">
        <v>44186</v>
      </c>
      <c r="C7" s="137">
        <v>44191</v>
      </c>
      <c r="D7" s="138">
        <v>4</v>
      </c>
      <c r="E7" s="225">
        <f>D7/$B$4</f>
        <v>0.19047619047619047</v>
      </c>
      <c r="F7" s="226" t="str">
        <f t="shared" ref="F7:F28" si="0">REPT("|",IF(D7&gt;0,IF(D7/1&lt;1,1,D7/1)))</f>
        <v>||||</v>
      </c>
      <c r="G7" s="139"/>
      <c r="H7" s="139"/>
      <c r="I7" s="139"/>
      <c r="J7" s="139"/>
      <c r="K7" s="139"/>
      <c r="L7" s="139"/>
      <c r="M7" s="138"/>
      <c r="N7" s="138"/>
      <c r="O7" s="138"/>
    </row>
    <row r="8" spans="2:15" ht="16.5">
      <c r="B8" s="182">
        <v>44192</v>
      </c>
      <c r="C8" s="182">
        <v>44198</v>
      </c>
      <c r="D8" s="183">
        <v>10.7</v>
      </c>
      <c r="E8" s="227">
        <f t="shared" ref="E8:E28" si="1">D8/$B$4</f>
        <v>0.50952380952380949</v>
      </c>
      <c r="F8" s="228" t="str">
        <f t="shared" si="0"/>
        <v>||||||||||</v>
      </c>
      <c r="G8" s="184"/>
      <c r="H8" s="184"/>
      <c r="I8" s="184"/>
      <c r="J8" s="184"/>
      <c r="K8" s="184"/>
      <c r="L8" s="184"/>
      <c r="M8" s="183"/>
      <c r="N8" s="183"/>
      <c r="O8" s="183"/>
    </row>
    <row r="9" spans="2:15" ht="16.5">
      <c r="B9" s="182">
        <v>44199</v>
      </c>
      <c r="C9" s="182">
        <v>44205</v>
      </c>
      <c r="D9" s="183">
        <v>18.5</v>
      </c>
      <c r="E9" s="227">
        <f t="shared" si="1"/>
        <v>0.88095238095238093</v>
      </c>
      <c r="F9" s="228" t="str">
        <f t="shared" si="0"/>
        <v>||||||||||||||||||</v>
      </c>
      <c r="G9" s="184"/>
      <c r="H9" s="184"/>
      <c r="I9" s="184"/>
      <c r="J9" s="184"/>
      <c r="K9" s="184"/>
      <c r="L9" s="184"/>
      <c r="M9" s="183"/>
      <c r="N9" s="183"/>
      <c r="O9" s="183"/>
    </row>
    <row r="10" spans="2:15" ht="16.5">
      <c r="B10" s="182">
        <v>44206</v>
      </c>
      <c r="C10" s="182">
        <v>44212</v>
      </c>
      <c r="D10" s="183">
        <v>7.9</v>
      </c>
      <c r="E10" s="227">
        <f t="shared" si="1"/>
        <v>0.37619047619047619</v>
      </c>
      <c r="F10" s="228" t="str">
        <f t="shared" si="0"/>
        <v>|||||||</v>
      </c>
      <c r="G10" s="184"/>
      <c r="H10" s="184"/>
      <c r="I10" s="184"/>
      <c r="J10" s="184"/>
      <c r="K10" s="184"/>
      <c r="L10" s="184"/>
      <c r="M10" s="183"/>
      <c r="N10" s="183"/>
      <c r="O10" s="183"/>
    </row>
    <row r="11" spans="2:15" ht="16.5">
      <c r="B11" s="182">
        <v>44213</v>
      </c>
      <c r="C11" s="182">
        <v>44219</v>
      </c>
      <c r="D11" s="183">
        <v>7.4</v>
      </c>
      <c r="E11" s="227">
        <f t="shared" si="1"/>
        <v>0.35238095238095241</v>
      </c>
      <c r="F11" s="228" t="str">
        <f t="shared" si="0"/>
        <v>|||||||</v>
      </c>
      <c r="G11" s="184"/>
      <c r="H11" s="184"/>
      <c r="I11" s="184"/>
      <c r="J11" s="184"/>
      <c r="K11" s="184"/>
      <c r="L11" s="184"/>
      <c r="M11" s="183"/>
      <c r="N11" s="183"/>
      <c r="O11" s="183"/>
    </row>
    <row r="12" spans="2:15" ht="16.5">
      <c r="B12" s="182">
        <v>44220</v>
      </c>
      <c r="C12" s="182">
        <v>44226</v>
      </c>
      <c r="D12" s="183">
        <v>14</v>
      </c>
      <c r="E12" s="227">
        <f t="shared" si="1"/>
        <v>0.66666666666666663</v>
      </c>
      <c r="F12" s="228" t="str">
        <f t="shared" si="0"/>
        <v>||||||||||||||</v>
      </c>
      <c r="G12" s="184"/>
      <c r="H12" s="184"/>
      <c r="I12" s="184"/>
      <c r="J12" s="184"/>
      <c r="K12" s="184"/>
      <c r="L12" s="184"/>
      <c r="M12" s="183"/>
      <c r="N12" s="183"/>
      <c r="O12" s="183"/>
    </row>
    <row r="13" spans="2:15" ht="16.5">
      <c r="B13" s="182">
        <v>44227</v>
      </c>
      <c r="C13" s="182">
        <v>44233</v>
      </c>
      <c r="D13" s="183">
        <v>12</v>
      </c>
      <c r="E13" s="227">
        <f t="shared" si="1"/>
        <v>0.5714285714285714</v>
      </c>
      <c r="F13" s="228" t="str">
        <f t="shared" si="0"/>
        <v>||||||||||||</v>
      </c>
      <c r="G13" s="184"/>
      <c r="H13" s="184"/>
      <c r="I13" s="184"/>
      <c r="J13" s="184"/>
      <c r="K13" s="184"/>
      <c r="L13" s="184"/>
      <c r="M13" s="183"/>
      <c r="N13" s="183"/>
      <c r="O13" s="183"/>
    </row>
    <row r="14" spans="2:15" ht="16.5">
      <c r="B14" s="182">
        <v>44234</v>
      </c>
      <c r="C14" s="182">
        <v>44240</v>
      </c>
      <c r="D14" s="183">
        <v>4</v>
      </c>
      <c r="E14" s="227">
        <f t="shared" si="1"/>
        <v>0.19047619047619047</v>
      </c>
      <c r="F14" s="228" t="str">
        <f t="shared" si="0"/>
        <v>||||</v>
      </c>
      <c r="G14" s="184"/>
      <c r="H14" s="184"/>
      <c r="I14" s="184"/>
      <c r="J14" s="184"/>
      <c r="K14" s="184"/>
      <c r="L14" s="184"/>
      <c r="M14" s="183"/>
      <c r="N14" s="183"/>
      <c r="O14" s="183"/>
    </row>
    <row r="15" spans="2:15" ht="16.5">
      <c r="B15" s="182">
        <v>44241</v>
      </c>
      <c r="C15" s="182">
        <v>44247</v>
      </c>
      <c r="D15" s="183">
        <v>11.2</v>
      </c>
      <c r="E15" s="227">
        <f t="shared" si="1"/>
        <v>0.53333333333333333</v>
      </c>
      <c r="F15" s="228" t="str">
        <f t="shared" si="0"/>
        <v>|||||||||||</v>
      </c>
      <c r="G15" s="184"/>
      <c r="H15" s="184"/>
      <c r="I15" s="184"/>
      <c r="J15" s="184"/>
      <c r="K15" s="184"/>
      <c r="L15" s="184"/>
      <c r="M15" s="183"/>
      <c r="N15" s="183"/>
      <c r="O15" s="183"/>
    </row>
    <row r="16" spans="2:15" ht="16.5">
      <c r="B16" s="182">
        <v>44248</v>
      </c>
      <c r="C16" s="182">
        <v>44254</v>
      </c>
      <c r="D16" s="183">
        <v>17</v>
      </c>
      <c r="E16" s="227">
        <f t="shared" si="1"/>
        <v>0.80952380952380953</v>
      </c>
      <c r="F16" s="228" t="str">
        <f t="shared" si="0"/>
        <v>|||||||||||||||||</v>
      </c>
      <c r="G16" s="184"/>
      <c r="H16" s="184"/>
      <c r="I16" s="184"/>
      <c r="J16" s="184"/>
      <c r="K16" s="184"/>
      <c r="L16" s="184"/>
      <c r="M16" s="183"/>
      <c r="N16" s="183"/>
      <c r="O16" s="183"/>
    </row>
    <row r="17" spans="2:15" ht="16.5">
      <c r="B17" s="182">
        <v>44255</v>
      </c>
      <c r="C17" s="182">
        <v>44261</v>
      </c>
      <c r="D17" s="183">
        <v>14</v>
      </c>
      <c r="E17" s="227">
        <f t="shared" si="1"/>
        <v>0.66666666666666663</v>
      </c>
      <c r="F17" s="228" t="str">
        <f t="shared" si="0"/>
        <v>||||||||||||||</v>
      </c>
      <c r="G17" s="184"/>
      <c r="H17" s="184"/>
      <c r="I17" s="184"/>
      <c r="J17" s="184"/>
      <c r="K17" s="184"/>
      <c r="L17" s="184"/>
      <c r="M17" s="183"/>
      <c r="N17" s="183"/>
      <c r="O17" s="183"/>
    </row>
    <row r="18" spans="2:15" ht="16.5">
      <c r="B18" s="182">
        <v>44262</v>
      </c>
      <c r="C18" s="182">
        <v>44268</v>
      </c>
      <c r="D18" s="183">
        <v>16</v>
      </c>
      <c r="E18" s="227">
        <f t="shared" si="1"/>
        <v>0.76190476190476186</v>
      </c>
      <c r="F18" s="228" t="str">
        <f t="shared" si="0"/>
        <v>||||||||||||||||</v>
      </c>
      <c r="G18" s="184"/>
      <c r="H18" s="184"/>
      <c r="I18" s="184"/>
      <c r="J18" s="184"/>
      <c r="K18" s="184"/>
      <c r="L18" s="184"/>
      <c r="M18" s="183"/>
      <c r="N18" s="183"/>
      <c r="O18" s="183"/>
    </row>
    <row r="19" spans="2:15" ht="16.5">
      <c r="B19" s="182">
        <v>44269</v>
      </c>
      <c r="C19" s="182">
        <v>44275</v>
      </c>
      <c r="D19" s="183">
        <v>15</v>
      </c>
      <c r="E19" s="227">
        <f t="shared" si="1"/>
        <v>0.7142857142857143</v>
      </c>
      <c r="F19" s="228" t="str">
        <f t="shared" si="0"/>
        <v>|||||||||||||||</v>
      </c>
      <c r="G19" s="184"/>
      <c r="H19" s="184"/>
      <c r="I19" s="184"/>
      <c r="J19" s="184"/>
      <c r="K19" s="184"/>
      <c r="L19" s="184"/>
      <c r="M19" s="183"/>
      <c r="N19" s="183"/>
      <c r="O19" s="183"/>
    </row>
    <row r="20" spans="2:15" ht="16.5">
      <c r="B20" s="182">
        <v>44276</v>
      </c>
      <c r="C20" s="182">
        <v>44282</v>
      </c>
      <c r="D20" s="183">
        <v>15.6</v>
      </c>
      <c r="E20" s="227">
        <f t="shared" si="1"/>
        <v>0.74285714285714288</v>
      </c>
      <c r="F20" s="228" t="str">
        <f t="shared" si="0"/>
        <v>|||||||||||||||</v>
      </c>
      <c r="G20" s="184"/>
      <c r="H20" s="184"/>
      <c r="I20" s="184"/>
      <c r="J20" s="184"/>
      <c r="K20" s="184"/>
      <c r="L20" s="184"/>
      <c r="M20" s="183"/>
      <c r="N20" s="183"/>
      <c r="O20" s="183"/>
    </row>
    <row r="21" spans="2:15" ht="16.5">
      <c r="B21" s="182">
        <v>44283</v>
      </c>
      <c r="C21" s="182">
        <v>44289</v>
      </c>
      <c r="D21" s="183">
        <v>18</v>
      </c>
      <c r="E21" s="227">
        <f t="shared" si="1"/>
        <v>0.8571428571428571</v>
      </c>
      <c r="F21" s="228" t="str">
        <f t="shared" si="0"/>
        <v>||||||||||||||||||</v>
      </c>
      <c r="G21" s="184"/>
      <c r="H21" s="184"/>
      <c r="I21" s="184"/>
      <c r="J21" s="184"/>
      <c r="K21" s="184"/>
      <c r="L21" s="184"/>
      <c r="M21" s="183"/>
      <c r="N21" s="183"/>
      <c r="O21" s="183"/>
    </row>
    <row r="22" spans="2:15" ht="16.5">
      <c r="B22" s="182">
        <v>44290</v>
      </c>
      <c r="C22" s="182">
        <v>44296</v>
      </c>
      <c r="D22" s="183">
        <v>21</v>
      </c>
      <c r="E22" s="227">
        <f t="shared" si="1"/>
        <v>1</v>
      </c>
      <c r="F22" s="228" t="str">
        <f t="shared" si="0"/>
        <v>|||||||||||||||||||||</v>
      </c>
      <c r="G22" s="184"/>
      <c r="H22" s="184"/>
      <c r="I22" s="184"/>
      <c r="J22" s="184"/>
      <c r="K22" s="184"/>
      <c r="L22" s="184"/>
      <c r="M22" s="183"/>
      <c r="N22" s="183"/>
      <c r="O22" s="183"/>
    </row>
    <row r="23" spans="2:15" ht="16.5">
      <c r="B23" s="182">
        <v>44297</v>
      </c>
      <c r="C23" s="182">
        <v>44303</v>
      </c>
      <c r="D23" s="183">
        <v>21</v>
      </c>
      <c r="E23" s="227">
        <f t="shared" si="1"/>
        <v>1</v>
      </c>
      <c r="F23" s="228" t="str">
        <f t="shared" si="0"/>
        <v>|||||||||||||||||||||</v>
      </c>
      <c r="G23" s="184"/>
      <c r="H23" s="184"/>
      <c r="I23" s="184"/>
      <c r="J23" s="184"/>
      <c r="K23" s="184"/>
      <c r="L23" s="184"/>
      <c r="M23" s="183"/>
      <c r="N23" s="183"/>
      <c r="O23" s="183"/>
    </row>
    <row r="24" spans="2:15" ht="16.5">
      <c r="B24" s="182">
        <v>44304</v>
      </c>
      <c r="C24" s="182">
        <v>44310</v>
      </c>
      <c r="D24" s="183">
        <v>5</v>
      </c>
      <c r="E24" s="227">
        <f t="shared" si="1"/>
        <v>0.23809523809523808</v>
      </c>
      <c r="F24" s="228" t="str">
        <f t="shared" si="0"/>
        <v>|||||</v>
      </c>
      <c r="G24" s="184"/>
      <c r="H24" s="184"/>
      <c r="I24" s="184"/>
      <c r="J24" s="184"/>
      <c r="K24" s="184"/>
      <c r="L24" s="184"/>
      <c r="M24" s="183"/>
      <c r="N24" s="183"/>
      <c r="O24" s="183"/>
    </row>
    <row r="25" spans="2:15" ht="16.5">
      <c r="B25" s="182">
        <v>44311</v>
      </c>
      <c r="C25" s="182">
        <v>44317</v>
      </c>
      <c r="D25" s="183">
        <v>20</v>
      </c>
      <c r="E25" s="227">
        <f t="shared" si="1"/>
        <v>0.95238095238095233</v>
      </c>
      <c r="F25" s="228" t="str">
        <f t="shared" si="0"/>
        <v>||||||||||||||||||||</v>
      </c>
      <c r="G25" s="184"/>
      <c r="H25" s="184"/>
      <c r="I25" s="184"/>
      <c r="J25" s="184"/>
      <c r="K25" s="184"/>
      <c r="L25" s="184"/>
      <c r="M25" s="183"/>
      <c r="N25" s="183"/>
      <c r="O25" s="183"/>
    </row>
    <row r="26" spans="2:15" ht="16.5">
      <c r="B26" s="182">
        <v>44318</v>
      </c>
      <c r="C26" s="182">
        <v>44324</v>
      </c>
      <c r="D26" s="183">
        <v>4</v>
      </c>
      <c r="E26" s="227">
        <f t="shared" si="1"/>
        <v>0.19047619047619047</v>
      </c>
      <c r="F26" s="228" t="str">
        <f t="shared" si="0"/>
        <v>||||</v>
      </c>
      <c r="G26" s="184"/>
      <c r="H26" s="184"/>
      <c r="I26" s="184"/>
      <c r="J26" s="184"/>
      <c r="K26" s="184"/>
      <c r="L26" s="184"/>
      <c r="M26" s="183"/>
      <c r="N26" s="183"/>
      <c r="O26" s="183"/>
    </row>
    <row r="27" spans="2:15" ht="16.5">
      <c r="B27" s="182">
        <v>44325</v>
      </c>
      <c r="C27" s="182">
        <v>44331</v>
      </c>
      <c r="D27" s="183">
        <v>5</v>
      </c>
      <c r="E27" s="227">
        <f t="shared" si="1"/>
        <v>0.23809523809523808</v>
      </c>
      <c r="F27" s="228" t="str">
        <f t="shared" si="0"/>
        <v>|||||</v>
      </c>
      <c r="G27" s="184"/>
      <c r="H27" s="184"/>
      <c r="I27" s="184"/>
      <c r="J27" s="184"/>
      <c r="K27" s="184"/>
      <c r="L27" s="184"/>
      <c r="M27" s="183"/>
      <c r="N27" s="183"/>
      <c r="O27" s="183"/>
    </row>
    <row r="28" spans="2:15" ht="16.5">
      <c r="B28" s="182">
        <v>44332</v>
      </c>
      <c r="C28" s="182">
        <v>44338</v>
      </c>
      <c r="D28" s="183">
        <v>6</v>
      </c>
      <c r="E28" s="227">
        <f t="shared" si="1"/>
        <v>0.2857142857142857</v>
      </c>
      <c r="F28" s="228" t="str">
        <f t="shared" si="0"/>
        <v>||||||</v>
      </c>
      <c r="G28" s="184"/>
      <c r="H28" s="184"/>
      <c r="I28" s="184"/>
      <c r="J28" s="184"/>
      <c r="K28" s="184"/>
      <c r="L28" s="184"/>
      <c r="M28" s="183"/>
      <c r="N28" s="183"/>
      <c r="O28" s="183"/>
    </row>
    <row r="29" spans="2:15">
      <c r="C29" s="136" t="s">
        <v>1286</v>
      </c>
      <c r="D29" s="136">
        <f>SUM(D7:D28)</f>
        <v>267.29999999999995</v>
      </c>
      <c r="E29" s="224">
        <f>D29/$B$4</f>
        <v>12.728571428571426</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1489</v>
      </c>
      <c r="B1" s="1"/>
      <c r="C1" s="1"/>
      <c r="D1" s="1"/>
      <c r="E1" s="1"/>
      <c r="F1" s="1"/>
      <c r="G1" s="1"/>
      <c r="H1" s="1"/>
    </row>
    <row r="2" spans="1:9" s="65" customFormat="1" ht="78.75" customHeight="1">
      <c r="A2" s="291" t="s">
        <v>1490</v>
      </c>
      <c r="B2" s="291"/>
      <c r="C2" s="291"/>
      <c r="D2" s="291"/>
      <c r="E2" s="291"/>
      <c r="F2" s="291"/>
      <c r="G2" s="291"/>
      <c r="H2" s="291"/>
    </row>
    <row r="3" spans="1:9" s="65" customFormat="1" ht="24.75" customHeight="1">
      <c r="A3" s="292" t="s">
        <v>1491</v>
      </c>
      <c r="B3" s="292"/>
      <c r="D3" s="292" t="s">
        <v>1492</v>
      </c>
      <c r="E3" s="292"/>
      <c r="G3" s="292" t="s">
        <v>1493</v>
      </c>
      <c r="H3" s="292"/>
    </row>
    <row r="4" spans="1:9" s="67" customFormat="1" ht="19.5" customHeight="1">
      <c r="A4" s="66" t="s">
        <v>1494</v>
      </c>
      <c r="B4" s="66" t="s">
        <v>1495</v>
      </c>
      <c r="D4" s="66" t="s">
        <v>1494</v>
      </c>
      <c r="E4" s="66" t="s">
        <v>1495</v>
      </c>
      <c r="G4" s="66" t="s">
        <v>1494</v>
      </c>
      <c r="H4" s="66" t="s">
        <v>1495</v>
      </c>
    </row>
    <row r="5" spans="1:9" s="97" customFormat="1" ht="16.5">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1131</v>
      </c>
      <c r="B6" s="96">
        <v>43854</v>
      </c>
      <c r="C6" s="97" t="str">
        <f t="shared" si="0"/>
        <v>(금)</v>
      </c>
      <c r="D6" s="98"/>
      <c r="E6" s="99"/>
      <c r="F6" s="97" t="str">
        <f t="shared" si="1"/>
        <v/>
      </c>
      <c r="G6" s="98"/>
      <c r="H6" s="99"/>
      <c r="I6" s="97" t="str">
        <f t="shared" si="2"/>
        <v/>
      </c>
    </row>
    <row r="7" spans="1:9" s="97" customFormat="1" ht="16.5">
      <c r="A7" s="95" t="s">
        <v>1323</v>
      </c>
      <c r="B7" s="96">
        <v>43857</v>
      </c>
      <c r="C7" s="97" t="str">
        <f t="shared" si="0"/>
        <v>(월)</v>
      </c>
      <c r="D7" s="98"/>
      <c r="E7" s="99"/>
      <c r="F7" s="97" t="str">
        <f t="shared" si="1"/>
        <v/>
      </c>
      <c r="G7" s="98"/>
      <c r="H7" s="99"/>
      <c r="I7" s="97" t="str">
        <f t="shared" si="2"/>
        <v/>
      </c>
    </row>
    <row r="8" spans="1:9" s="97" customFormat="1" ht="16.5">
      <c r="A8" s="95" t="s">
        <v>1324</v>
      </c>
      <c r="B8" s="96">
        <v>43936</v>
      </c>
      <c r="C8" s="97" t="str">
        <f t="shared" si="0"/>
        <v>(수)</v>
      </c>
      <c r="D8" s="98"/>
      <c r="E8" s="99"/>
      <c r="F8" s="97" t="str">
        <f t="shared" si="1"/>
        <v/>
      </c>
      <c r="G8" s="98"/>
      <c r="H8" s="99"/>
      <c r="I8" s="97" t="str">
        <f t="shared" si="2"/>
        <v/>
      </c>
    </row>
    <row r="9" spans="1:9" s="97" customFormat="1" ht="16.5">
      <c r="A9" s="95" t="s">
        <v>1325</v>
      </c>
      <c r="B9" s="96">
        <v>43951</v>
      </c>
      <c r="C9" s="97" t="str">
        <f t="shared" si="0"/>
        <v>(목)</v>
      </c>
      <c r="D9" s="98"/>
      <c r="E9" s="99"/>
      <c r="F9" s="97" t="str">
        <f t="shared" si="1"/>
        <v/>
      </c>
      <c r="G9" s="98"/>
      <c r="H9" s="99"/>
      <c r="I9" s="97" t="str">
        <f t="shared" si="2"/>
        <v/>
      </c>
    </row>
    <row r="10" spans="1:9" s="97" customFormat="1" ht="16.5">
      <c r="A10" s="95" t="s">
        <v>1326</v>
      </c>
      <c r="B10" s="96">
        <v>43956</v>
      </c>
      <c r="C10" s="97" t="str">
        <f t="shared" si="0"/>
        <v>(화)</v>
      </c>
      <c r="D10" s="98"/>
      <c r="E10" s="99"/>
      <c r="F10" s="97" t="str">
        <f t="shared" si="1"/>
        <v/>
      </c>
      <c r="G10" s="98"/>
      <c r="H10" s="99"/>
      <c r="I10" s="97" t="str">
        <f t="shared" si="2"/>
        <v/>
      </c>
    </row>
    <row r="11" spans="1:9" s="97" customFormat="1" ht="16.5">
      <c r="A11" s="95" t="s">
        <v>1331</v>
      </c>
      <c r="B11" s="96">
        <v>44060</v>
      </c>
      <c r="C11" s="97" t="str">
        <f t="shared" si="0"/>
        <v>(월)</v>
      </c>
      <c r="D11" s="98"/>
      <c r="E11" s="99"/>
      <c r="F11" s="97" t="str">
        <f t="shared" si="1"/>
        <v/>
      </c>
      <c r="G11" s="98"/>
      <c r="H11" s="99"/>
      <c r="I11" s="97" t="str">
        <f t="shared" si="2"/>
        <v/>
      </c>
    </row>
    <row r="12" spans="1:9" s="97" customFormat="1" ht="16.5">
      <c r="A12" s="95" t="s">
        <v>1327</v>
      </c>
      <c r="B12" s="96">
        <v>44104</v>
      </c>
      <c r="C12" s="97" t="str">
        <f t="shared" si="0"/>
        <v>(수)</v>
      </c>
      <c r="D12" s="98"/>
      <c r="E12" s="99"/>
      <c r="F12" s="97" t="str">
        <f t="shared" si="1"/>
        <v/>
      </c>
      <c r="G12" s="98"/>
      <c r="H12" s="99"/>
      <c r="I12" s="97" t="str">
        <f t="shared" si="2"/>
        <v/>
      </c>
    </row>
    <row r="13" spans="1:9" s="97" customFormat="1" ht="16.5">
      <c r="A13" s="95" t="s">
        <v>1328</v>
      </c>
      <c r="B13" s="96">
        <v>44105</v>
      </c>
      <c r="C13" s="97" t="str">
        <f t="shared" si="0"/>
        <v>(목)</v>
      </c>
      <c r="D13" s="98"/>
      <c r="E13" s="99"/>
      <c r="F13" s="97" t="str">
        <f t="shared" si="1"/>
        <v/>
      </c>
      <c r="G13" s="98"/>
      <c r="H13" s="99"/>
      <c r="I13" s="97" t="str">
        <f t="shared" si="2"/>
        <v/>
      </c>
    </row>
    <row r="14" spans="1:9" s="97" customFormat="1" ht="16.5">
      <c r="A14" s="95" t="s">
        <v>1327</v>
      </c>
      <c r="B14" s="96">
        <v>44106</v>
      </c>
      <c r="C14" s="97" t="str">
        <f t="shared" si="0"/>
        <v>(금)</v>
      </c>
      <c r="D14" s="98"/>
      <c r="E14" s="99"/>
      <c r="F14" s="97" t="str">
        <f t="shared" si="1"/>
        <v/>
      </c>
      <c r="G14" s="98"/>
      <c r="H14" s="99"/>
      <c r="I14" s="97" t="str">
        <f t="shared" si="2"/>
        <v/>
      </c>
    </row>
    <row r="15" spans="1:9" s="97" customFormat="1" ht="16.5">
      <c r="A15" s="95" t="s">
        <v>1329</v>
      </c>
      <c r="B15" s="96">
        <v>44113</v>
      </c>
      <c r="C15" s="97" t="str">
        <f t="shared" si="0"/>
        <v>(금)</v>
      </c>
      <c r="D15" s="98"/>
      <c r="E15" s="99"/>
      <c r="F15" s="97" t="str">
        <f t="shared" si="1"/>
        <v/>
      </c>
      <c r="G15" s="98"/>
      <c r="H15" s="99"/>
      <c r="I15" s="97" t="str">
        <f t="shared" si="2"/>
        <v/>
      </c>
    </row>
    <row r="16" spans="1:9" s="97" customFormat="1" ht="16.5">
      <c r="A16" s="95" t="s">
        <v>1330</v>
      </c>
      <c r="B16" s="96">
        <v>44190</v>
      </c>
      <c r="C16" s="97" t="str">
        <f t="shared" si="0"/>
        <v>(금)</v>
      </c>
      <c r="D16" s="98"/>
      <c r="E16" s="99"/>
      <c r="F16" s="97" t="str">
        <f t="shared" si="1"/>
        <v/>
      </c>
      <c r="G16" s="98"/>
      <c r="H16" s="99"/>
      <c r="I16" s="97" t="str">
        <f t="shared" si="2"/>
        <v/>
      </c>
    </row>
    <row r="17" spans="1:10" s="97" customFormat="1" ht="16.5">
      <c r="A17" s="95" t="s">
        <v>1332</v>
      </c>
      <c r="B17" s="96">
        <v>44197</v>
      </c>
      <c r="C17" s="97" t="str">
        <f t="shared" si="0"/>
        <v>(금)</v>
      </c>
      <c r="D17" s="98"/>
      <c r="E17" s="99"/>
      <c r="F17" s="97" t="str">
        <f t="shared" si="1"/>
        <v/>
      </c>
      <c r="G17" s="98"/>
      <c r="H17" s="99"/>
      <c r="I17" s="97" t="str">
        <f t="shared" si="2"/>
        <v/>
      </c>
    </row>
    <row r="18" spans="1:10" s="97" customFormat="1" ht="16.5">
      <c r="A18" s="95" t="s">
        <v>1333</v>
      </c>
      <c r="B18" s="96">
        <v>44238</v>
      </c>
      <c r="C18" s="97" t="str">
        <f t="shared" si="0"/>
        <v>(목)</v>
      </c>
      <c r="D18" s="98"/>
      <c r="E18" s="99"/>
      <c r="F18" s="97" t="str">
        <f t="shared" si="1"/>
        <v/>
      </c>
      <c r="G18" s="98"/>
      <c r="H18" s="99"/>
      <c r="I18" s="97" t="str">
        <f t="shared" si="2"/>
        <v/>
      </c>
    </row>
    <row r="19" spans="1:10" s="97" customFormat="1" ht="17.25">
      <c r="A19" s="95" t="s">
        <v>1334</v>
      </c>
      <c r="B19" s="96">
        <v>44239</v>
      </c>
      <c r="C19" s="97" t="str">
        <f t="shared" si="0"/>
        <v>(금)</v>
      </c>
      <c r="D19" s="98"/>
      <c r="E19" s="99"/>
      <c r="F19" s="97" t="str">
        <f t="shared" si="1"/>
        <v/>
      </c>
      <c r="G19" s="98"/>
      <c r="H19" s="99"/>
      <c r="I19" s="97" t="str">
        <f t="shared" si="2"/>
        <v/>
      </c>
      <c r="J19" s="100"/>
    </row>
    <row r="20" spans="1:10" s="97" customFormat="1" ht="17.25">
      <c r="A20" s="95" t="s">
        <v>1335</v>
      </c>
      <c r="B20" s="96">
        <v>44256</v>
      </c>
      <c r="C20" s="97" t="str">
        <f t="shared" si="0"/>
        <v>(월)</v>
      </c>
      <c r="D20" s="98"/>
      <c r="E20" s="99"/>
      <c r="F20" s="97" t="str">
        <f t="shared" si="1"/>
        <v/>
      </c>
      <c r="G20" s="98"/>
      <c r="H20" s="99"/>
      <c r="I20" s="97" t="str">
        <f t="shared" si="2"/>
        <v/>
      </c>
      <c r="J20" s="100"/>
    </row>
    <row r="21" spans="1:10" s="97" customFormat="1" ht="16.5">
      <c r="A21" s="95" t="s">
        <v>1336</v>
      </c>
      <c r="B21" s="96">
        <v>44321</v>
      </c>
      <c r="C21" s="97" t="str">
        <f t="shared" si="0"/>
        <v>(수)</v>
      </c>
      <c r="D21" s="98"/>
      <c r="E21" s="99"/>
      <c r="F21" s="97" t="str">
        <f t="shared" si="1"/>
        <v/>
      </c>
      <c r="G21" s="98"/>
      <c r="H21" s="99"/>
      <c r="I21" s="97" t="str">
        <f t="shared" si="2"/>
        <v/>
      </c>
    </row>
    <row r="22" spans="1:10" s="97" customFormat="1" ht="16.5">
      <c r="A22" s="95" t="s">
        <v>1337</v>
      </c>
      <c r="B22" s="96">
        <v>44335</v>
      </c>
      <c r="C22" s="97" t="str">
        <f t="shared" si="0"/>
        <v>(수)</v>
      </c>
      <c r="D22" s="98"/>
      <c r="E22" s="99"/>
      <c r="F22" s="97" t="str">
        <f t="shared" si="1"/>
        <v/>
      </c>
      <c r="G22" s="98"/>
      <c r="H22" s="99"/>
      <c r="I22" s="97" t="str">
        <f t="shared" si="2"/>
        <v/>
      </c>
    </row>
    <row r="23" spans="1:10" s="97" customFormat="1" ht="16.5">
      <c r="A23" s="95" t="s">
        <v>1338</v>
      </c>
      <c r="B23" s="96">
        <v>44459</v>
      </c>
      <c r="C23" s="97" t="str">
        <f t="shared" si="0"/>
        <v>(월)</v>
      </c>
      <c r="D23" s="98"/>
      <c r="E23" s="99"/>
      <c r="F23" s="97" t="str">
        <f t="shared" si="1"/>
        <v/>
      </c>
      <c r="G23" s="98"/>
      <c r="H23" s="99"/>
      <c r="I23" s="97" t="str">
        <f t="shared" si="2"/>
        <v/>
      </c>
    </row>
    <row r="24" spans="1:10" s="97" customFormat="1" ht="16.5">
      <c r="A24" s="95" t="s">
        <v>1339</v>
      </c>
      <c r="B24" s="96">
        <v>44460</v>
      </c>
      <c r="C24" s="97" t="str">
        <f t="shared" si="0"/>
        <v>(화)</v>
      </c>
      <c r="D24" s="98"/>
      <c r="E24" s="99"/>
      <c r="F24" s="97" t="str">
        <f t="shared" si="1"/>
        <v/>
      </c>
      <c r="G24" s="98"/>
      <c r="H24" s="99"/>
      <c r="I24" s="97" t="str">
        <f t="shared" si="2"/>
        <v/>
      </c>
    </row>
    <row r="25" spans="1:10" s="97" customFormat="1" ht="16.5">
      <c r="A25" s="95" t="s">
        <v>1338</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1496</v>
      </c>
      <c r="D305" s="97" t="s">
        <v>1496</v>
      </c>
      <c r="G305" s="97" t="s">
        <v>1496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499</v>
      </c>
      <c r="B1" s="85" t="s">
        <v>500</v>
      </c>
      <c r="C1" s="86" t="s">
        <v>501</v>
      </c>
      <c r="D1" s="86" t="s">
        <v>64</v>
      </c>
      <c r="E1" s="86" t="s">
        <v>65</v>
      </c>
      <c r="F1" s="85" t="s">
        <v>1422</v>
      </c>
    </row>
    <row r="2" spans="1:6" ht="84">
      <c r="A2" s="87" t="s">
        <v>1410</v>
      </c>
      <c r="B2" s="88">
        <v>1</v>
      </c>
      <c r="C2" s="89" t="s">
        <v>1024</v>
      </c>
      <c r="D2" s="90" t="s">
        <v>502</v>
      </c>
      <c r="E2" s="90" t="s">
        <v>586</v>
      </c>
      <c r="F2" s="90" t="s">
        <v>586</v>
      </c>
    </row>
    <row r="3" spans="1:6" ht="96">
      <c r="A3" s="216">
        <v>600</v>
      </c>
      <c r="B3" s="88">
        <v>2</v>
      </c>
      <c r="C3" s="89" t="s">
        <v>1024</v>
      </c>
      <c r="D3" s="90" t="s">
        <v>495</v>
      </c>
      <c r="E3" s="90" t="s">
        <v>587</v>
      </c>
      <c r="F3" s="90" t="s">
        <v>587</v>
      </c>
    </row>
    <row r="4" spans="1:6" ht="60">
      <c r="B4" s="88">
        <v>3</v>
      </c>
      <c r="C4" s="89" t="s">
        <v>1024</v>
      </c>
      <c r="D4" s="90" t="s">
        <v>503</v>
      </c>
      <c r="E4" s="90" t="s">
        <v>588</v>
      </c>
      <c r="F4" s="90" t="s">
        <v>588</v>
      </c>
    </row>
    <row r="5" spans="1:6" ht="60">
      <c r="B5" s="88">
        <v>4</v>
      </c>
      <c r="C5" s="89" t="s">
        <v>1024</v>
      </c>
      <c r="D5" s="90" t="s">
        <v>504</v>
      </c>
      <c r="E5" s="90" t="s">
        <v>589</v>
      </c>
      <c r="F5" s="90" t="s">
        <v>589</v>
      </c>
    </row>
    <row r="6" spans="1:6" ht="60">
      <c r="B6" s="88">
        <v>5</v>
      </c>
      <c r="C6" s="89" t="s">
        <v>1024</v>
      </c>
      <c r="D6" s="90" t="s">
        <v>505</v>
      </c>
      <c r="E6" s="90" t="s">
        <v>590</v>
      </c>
      <c r="F6" s="90" t="s">
        <v>590</v>
      </c>
    </row>
    <row r="7" spans="1:6" ht="48">
      <c r="B7" s="88">
        <v>6</v>
      </c>
      <c r="C7" s="89" t="s">
        <v>1024</v>
      </c>
      <c r="D7" s="90" t="s">
        <v>506</v>
      </c>
      <c r="E7" s="90" t="s">
        <v>591</v>
      </c>
      <c r="F7" s="90" t="s">
        <v>591</v>
      </c>
    </row>
    <row r="8" spans="1:6">
      <c r="B8" s="88">
        <v>7</v>
      </c>
      <c r="C8" s="89" t="s">
        <v>1024</v>
      </c>
      <c r="D8" s="90" t="s">
        <v>497</v>
      </c>
      <c r="E8" s="90" t="s">
        <v>592</v>
      </c>
      <c r="F8" s="90" t="s">
        <v>592</v>
      </c>
    </row>
    <row r="9" spans="1:6" ht="48">
      <c r="B9" s="88">
        <v>8</v>
      </c>
      <c r="C9" s="89" t="s">
        <v>1232</v>
      </c>
      <c r="D9" s="90" t="s">
        <v>1229</v>
      </c>
      <c r="E9" s="90" t="s">
        <v>1147</v>
      </c>
      <c r="F9" s="90" t="s">
        <v>1147</v>
      </c>
    </row>
    <row r="10" spans="1:6" ht="48">
      <c r="B10" s="88">
        <v>9</v>
      </c>
      <c r="C10" s="89" t="s">
        <v>1232</v>
      </c>
      <c r="D10" s="90" t="s">
        <v>1210</v>
      </c>
      <c r="E10" s="90" t="s">
        <v>1171</v>
      </c>
      <c r="F10" s="90" t="s">
        <v>1171</v>
      </c>
    </row>
    <row r="11" spans="1:6" ht="60">
      <c r="B11" s="88">
        <v>10</v>
      </c>
      <c r="C11" s="89" t="s">
        <v>1232</v>
      </c>
      <c r="D11" s="90" t="s">
        <v>1230</v>
      </c>
      <c r="E11" s="90" t="s">
        <v>1212</v>
      </c>
      <c r="F11" s="90" t="s">
        <v>1212</v>
      </c>
    </row>
    <row r="12" spans="1:6" ht="48">
      <c r="B12" s="88">
        <v>11</v>
      </c>
      <c r="C12" s="89" t="s">
        <v>1232</v>
      </c>
      <c r="D12" s="90" t="s">
        <v>1215</v>
      </c>
      <c r="E12" s="90" t="s">
        <v>1214</v>
      </c>
      <c r="F12" s="90" t="s">
        <v>1214</v>
      </c>
    </row>
    <row r="13" spans="1:6" ht="72">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4">
      <c r="B19" s="88">
        <v>106</v>
      </c>
      <c r="D19" s="90" t="s">
        <v>418</v>
      </c>
      <c r="E19" s="90" t="s">
        <v>598</v>
      </c>
      <c r="F19" s="90" t="s">
        <v>598</v>
      </c>
    </row>
    <row r="20" spans="1:6" ht="36">
      <c r="B20" s="88">
        <v>107</v>
      </c>
      <c r="D20" s="90" t="s">
        <v>419</v>
      </c>
      <c r="E20" s="90" t="s">
        <v>599</v>
      </c>
      <c r="F20" s="90" t="s">
        <v>599</v>
      </c>
    </row>
    <row r="21" spans="1:6" ht="36">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17"/>
      <c r="B25" s="88">
        <v>112</v>
      </c>
      <c r="C25" s="218" t="s">
        <v>490</v>
      </c>
      <c r="D25" s="216" t="s">
        <v>507</v>
      </c>
      <c r="E25" s="216" t="s">
        <v>577</v>
      </c>
      <c r="F25" s="216"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c r="B29" s="88">
        <v>116</v>
      </c>
      <c r="D29" s="90" t="s">
        <v>75</v>
      </c>
      <c r="E29" s="90" t="s">
        <v>604</v>
      </c>
      <c r="F29" s="90" t="s">
        <v>604</v>
      </c>
    </row>
    <row r="30" spans="1:6">
      <c r="B30" s="88">
        <v>117</v>
      </c>
      <c r="D30" s="90" t="s">
        <v>76</v>
      </c>
      <c r="E30" s="90" t="s">
        <v>605</v>
      </c>
      <c r="F30" s="90" t="s">
        <v>605</v>
      </c>
    </row>
    <row r="31" spans="1:6" ht="24">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4">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4">
      <c r="B38" s="88">
        <v>125</v>
      </c>
      <c r="D38" s="90" t="s">
        <v>1067</v>
      </c>
      <c r="E38" s="90" t="s">
        <v>1068</v>
      </c>
      <c r="F38" s="90" t="s">
        <v>1068</v>
      </c>
    </row>
    <row r="39" spans="2:6" ht="24">
      <c r="B39" s="88">
        <v>126</v>
      </c>
      <c r="D39" s="90" t="s">
        <v>1066</v>
      </c>
      <c r="E39" s="90" t="s">
        <v>1065</v>
      </c>
      <c r="F39" s="90" t="s">
        <v>1065</v>
      </c>
    </row>
    <row r="40" spans="2:6" ht="24">
      <c r="B40" s="88">
        <v>127</v>
      </c>
      <c r="D40" s="90" t="s">
        <v>80</v>
      </c>
      <c r="E40" s="90" t="s">
        <v>610</v>
      </c>
      <c r="F40" s="90" t="s">
        <v>610</v>
      </c>
    </row>
    <row r="41" spans="2:6" ht="24">
      <c r="B41" s="88">
        <v>128</v>
      </c>
      <c r="D41" s="90" t="s">
        <v>81</v>
      </c>
      <c r="E41" s="90" t="s">
        <v>611</v>
      </c>
      <c r="F41" s="90" t="s">
        <v>611</v>
      </c>
    </row>
    <row r="42" spans="2:6" ht="24">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1514</v>
      </c>
      <c r="E46" s="90" t="s">
        <v>615</v>
      </c>
      <c r="F46" s="90" t="s">
        <v>615</v>
      </c>
    </row>
    <row r="47" spans="2:6">
      <c r="B47" s="88">
        <v>134</v>
      </c>
      <c r="D47" s="90" t="s">
        <v>1513</v>
      </c>
      <c r="E47" s="90" t="s">
        <v>616</v>
      </c>
      <c r="F47" s="90" t="s">
        <v>616</v>
      </c>
    </row>
    <row r="48" spans="2:6">
      <c r="B48" s="88">
        <v>135</v>
      </c>
      <c r="D48" s="216" t="s">
        <v>1512</v>
      </c>
      <c r="E48" s="219">
        <v>43435</v>
      </c>
      <c r="F48" s="219">
        <v>43435</v>
      </c>
    </row>
    <row r="49" spans="2:6">
      <c r="B49" s="88">
        <v>136</v>
      </c>
      <c r="D49" s="216" t="s">
        <v>423</v>
      </c>
      <c r="E49" s="219">
        <v>43465</v>
      </c>
      <c r="F49" s="219">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4">
      <c r="B53" s="88">
        <v>140</v>
      </c>
      <c r="D53" s="90" t="s">
        <v>86</v>
      </c>
      <c r="E53" s="90" t="s">
        <v>618</v>
      </c>
      <c r="F53" s="90" t="s">
        <v>618</v>
      </c>
    </row>
    <row r="54" spans="2:6" ht="24">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20" t="s">
        <v>574</v>
      </c>
      <c r="F56" s="220" t="s">
        <v>574</v>
      </c>
    </row>
    <row r="57" spans="2:6">
      <c r="B57" s="88">
        <v>144</v>
      </c>
      <c r="D57" s="90" t="s">
        <v>88</v>
      </c>
      <c r="E57" s="90" t="s">
        <v>620</v>
      </c>
      <c r="F57" s="90" t="s">
        <v>620</v>
      </c>
    </row>
    <row r="58" spans="2:6" ht="24">
      <c r="B58" s="88">
        <v>145</v>
      </c>
      <c r="D58" s="90" t="s">
        <v>89</v>
      </c>
      <c r="E58" s="90" t="s">
        <v>621</v>
      </c>
      <c r="F58" s="90" t="s">
        <v>621</v>
      </c>
    </row>
    <row r="59" spans="2:6">
      <c r="B59" s="88">
        <v>146</v>
      </c>
      <c r="D59" s="90" t="s">
        <v>90</v>
      </c>
      <c r="E59" s="90" t="s">
        <v>622</v>
      </c>
      <c r="F59" s="90" t="s">
        <v>622</v>
      </c>
    </row>
    <row r="60" spans="2:6" ht="24">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20" t="s">
        <v>573</v>
      </c>
      <c r="F64" s="220"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4">
      <c r="B68" s="88">
        <v>155</v>
      </c>
      <c r="D68" s="90" t="s">
        <v>96</v>
      </c>
      <c r="E68" s="90" t="s">
        <v>628</v>
      </c>
      <c r="F68" s="90" t="s">
        <v>628</v>
      </c>
    </row>
    <row r="69" spans="1:6">
      <c r="B69" s="88">
        <v>156</v>
      </c>
      <c r="C69" s="89" t="s">
        <v>585</v>
      </c>
      <c r="D69" s="87" t="s">
        <v>583</v>
      </c>
      <c r="E69" s="220" t="s">
        <v>576</v>
      </c>
      <c r="F69" s="220" t="s">
        <v>576</v>
      </c>
    </row>
    <row r="70" spans="1:6">
      <c r="B70" s="88">
        <v>157</v>
      </c>
      <c r="C70" s="89" t="s">
        <v>585</v>
      </c>
      <c r="D70" s="87" t="s">
        <v>582</v>
      </c>
      <c r="E70" s="220" t="s">
        <v>575</v>
      </c>
      <c r="F70" s="220" t="s">
        <v>575</v>
      </c>
    </row>
    <row r="71" spans="1:6">
      <c r="B71" s="88">
        <v>158</v>
      </c>
      <c r="D71" s="90" t="s">
        <v>426</v>
      </c>
      <c r="E71" s="90" t="s">
        <v>629</v>
      </c>
      <c r="F71" s="90" t="s">
        <v>629</v>
      </c>
    </row>
    <row r="72" spans="1:6">
      <c r="A72" s="221"/>
      <c r="B72" s="88">
        <v>159</v>
      </c>
      <c r="C72" s="218" t="s">
        <v>490</v>
      </c>
      <c r="D72" s="216" t="s">
        <v>511</v>
      </c>
      <c r="E72" s="216" t="s">
        <v>630</v>
      </c>
      <c r="F72" s="216" t="s">
        <v>630</v>
      </c>
    </row>
    <row r="73" spans="1:6">
      <c r="B73" s="88">
        <v>160</v>
      </c>
      <c r="D73" s="90" t="s">
        <v>97</v>
      </c>
      <c r="E73" s="216" t="s">
        <v>631</v>
      </c>
      <c r="F73" s="216" t="s">
        <v>631</v>
      </c>
    </row>
    <row r="74" spans="1:6">
      <c r="B74" s="88">
        <v>161</v>
      </c>
      <c r="D74" s="90" t="s">
        <v>98</v>
      </c>
      <c r="E74" s="216" t="s">
        <v>632</v>
      </c>
      <c r="F74" s="216"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21"/>
      <c r="B78" s="88">
        <v>165</v>
      </c>
      <c r="C78" s="218" t="s">
        <v>490</v>
      </c>
      <c r="D78" s="216" t="s">
        <v>512</v>
      </c>
      <c r="E78" s="216" t="s">
        <v>633</v>
      </c>
      <c r="F78" s="216" t="s">
        <v>633</v>
      </c>
    </row>
    <row r="79" spans="1:6">
      <c r="A79" s="221"/>
      <c r="B79" s="88">
        <v>166</v>
      </c>
      <c r="C79" s="218" t="s">
        <v>490</v>
      </c>
      <c r="D79" s="216" t="s">
        <v>513</v>
      </c>
      <c r="E79" s="216" t="s">
        <v>634</v>
      </c>
      <c r="F79" s="216" t="s">
        <v>634</v>
      </c>
    </row>
    <row r="80" spans="1:6">
      <c r="A80" s="221"/>
      <c r="B80" s="88">
        <v>167</v>
      </c>
      <c r="C80" s="218" t="s">
        <v>490</v>
      </c>
      <c r="D80" s="216" t="s">
        <v>514</v>
      </c>
      <c r="E80" s="216" t="s">
        <v>635</v>
      </c>
      <c r="F80" s="216" t="s">
        <v>635</v>
      </c>
    </row>
    <row r="81" spans="1:6">
      <c r="A81" s="221"/>
      <c r="B81" s="88">
        <v>168</v>
      </c>
      <c r="C81" s="218" t="s">
        <v>490</v>
      </c>
      <c r="D81" s="216" t="s">
        <v>498</v>
      </c>
      <c r="E81" s="216" t="s">
        <v>636</v>
      </c>
      <c r="F81" s="216"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4">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36">
      <c r="B95" s="88">
        <v>182</v>
      </c>
      <c r="C95" s="89" t="s">
        <v>1145</v>
      </c>
      <c r="D95" s="90" t="s">
        <v>1231</v>
      </c>
      <c r="E95" s="90" t="s">
        <v>1170</v>
      </c>
      <c r="F95" s="90" t="s">
        <v>1170</v>
      </c>
    </row>
    <row r="96" spans="1:6">
      <c r="B96" s="88">
        <v>183</v>
      </c>
      <c r="D96" s="90" t="s">
        <v>109</v>
      </c>
      <c r="E96" s="90" t="s">
        <v>647</v>
      </c>
      <c r="F96" s="90" t="s">
        <v>647</v>
      </c>
    </row>
    <row r="97" spans="2:6">
      <c r="B97" s="88">
        <v>184</v>
      </c>
      <c r="D97" s="90" t="s">
        <v>1417</v>
      </c>
      <c r="E97" s="90" t="s">
        <v>1500</v>
      </c>
      <c r="F97" s="90" t="s">
        <v>1500</v>
      </c>
    </row>
    <row r="98" spans="2:6">
      <c r="B98" s="88">
        <v>185</v>
      </c>
      <c r="D98" s="90" t="s">
        <v>110</v>
      </c>
      <c r="E98" s="90" t="s">
        <v>648</v>
      </c>
      <c r="F98" s="90" t="s">
        <v>648</v>
      </c>
    </row>
    <row r="99" spans="2:6" ht="24">
      <c r="B99" s="88">
        <v>186</v>
      </c>
      <c r="D99" s="90" t="s">
        <v>111</v>
      </c>
      <c r="E99" s="90" t="s">
        <v>649</v>
      </c>
      <c r="F99" s="90" t="s">
        <v>649</v>
      </c>
    </row>
    <row r="100" spans="2:6" ht="24">
      <c r="B100" s="88">
        <v>187</v>
      </c>
      <c r="D100" s="90" t="s">
        <v>112</v>
      </c>
      <c r="E100" s="90" t="s">
        <v>650</v>
      </c>
      <c r="F100" s="90" t="s">
        <v>650</v>
      </c>
    </row>
    <row r="101" spans="2:6" ht="24">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4">
      <c r="B110" s="88">
        <v>197</v>
      </c>
      <c r="D110" s="90" t="s">
        <v>429</v>
      </c>
      <c r="E110" s="90" t="s">
        <v>656</v>
      </c>
      <c r="F110" s="90" t="s">
        <v>656</v>
      </c>
    </row>
    <row r="111" spans="2:6" ht="24">
      <c r="B111" s="88">
        <v>198</v>
      </c>
      <c r="D111" s="90" t="s">
        <v>117</v>
      </c>
      <c r="E111" s="90" t="s">
        <v>657</v>
      </c>
      <c r="F111" s="90" t="s">
        <v>657</v>
      </c>
    </row>
    <row r="112" spans="2:6">
      <c r="B112" s="88">
        <v>199</v>
      </c>
      <c r="D112" s="90" t="s">
        <v>1419</v>
      </c>
      <c r="E112" s="90" t="s">
        <v>1501</v>
      </c>
      <c r="F112" s="90" t="s">
        <v>1501</v>
      </c>
    </row>
    <row r="113" spans="2:6">
      <c r="B113" s="88">
        <v>200</v>
      </c>
      <c r="D113" s="90" t="s">
        <v>118</v>
      </c>
      <c r="E113" s="90" t="s">
        <v>119</v>
      </c>
      <c r="F113" s="90" t="s">
        <v>119</v>
      </c>
    </row>
    <row r="114" spans="2:6">
      <c r="B114" s="88">
        <v>201</v>
      </c>
      <c r="D114" s="90" t="s">
        <v>1318</v>
      </c>
      <c r="E114" s="90" t="s">
        <v>1319</v>
      </c>
      <c r="F114" s="90" t="s">
        <v>1319</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4">
      <c r="B121" s="88">
        <v>208</v>
      </c>
      <c r="D121" s="90" t="s">
        <v>121</v>
      </c>
      <c r="E121" s="90" t="s">
        <v>661</v>
      </c>
      <c r="F121" s="90" t="s">
        <v>661</v>
      </c>
    </row>
    <row r="122" spans="2:6" ht="24">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1506</v>
      </c>
      <c r="E166" s="90" t="s">
        <v>1507</v>
      </c>
      <c r="F166" s="90" t="s">
        <v>1507</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4">
      <c r="B175" s="88">
        <v>262</v>
      </c>
      <c r="D175" s="90" t="s">
        <v>1073</v>
      </c>
      <c r="E175" s="90" t="s">
        <v>1075</v>
      </c>
      <c r="F175" s="90" t="s">
        <v>1075</v>
      </c>
    </row>
    <row r="176" spans="2:6" ht="24">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4">
      <c r="B184" s="88">
        <v>271</v>
      </c>
      <c r="D184" s="90" t="s">
        <v>144</v>
      </c>
      <c r="E184" s="90" t="s">
        <v>699</v>
      </c>
      <c r="F184" s="90" t="s">
        <v>699</v>
      </c>
    </row>
    <row r="185" spans="2:6" ht="36">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4">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1423</v>
      </c>
      <c r="E205" s="90" t="s">
        <v>1424</v>
      </c>
      <c r="F205" s="90" t="s">
        <v>1424</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20" t="s">
        <v>1546</v>
      </c>
      <c r="E215" s="220" t="s">
        <v>1176</v>
      </c>
      <c r="F215" s="220" t="s">
        <v>1176</v>
      </c>
    </row>
    <row r="216" spans="2:6">
      <c r="B216" s="88">
        <v>303</v>
      </c>
      <c r="C216" s="89" t="s">
        <v>1145</v>
      </c>
      <c r="D216" s="220" t="s">
        <v>1184</v>
      </c>
      <c r="E216" s="220" t="s">
        <v>1146</v>
      </c>
      <c r="F216" s="220" t="s">
        <v>1146</v>
      </c>
    </row>
    <row r="217" spans="2:6">
      <c r="B217" s="88">
        <v>304</v>
      </c>
      <c r="C217" s="89" t="s">
        <v>1145</v>
      </c>
      <c r="D217" s="220" t="s">
        <v>1549</v>
      </c>
      <c r="E217" s="220" t="s">
        <v>1155</v>
      </c>
      <c r="F217" s="220" t="s">
        <v>1155</v>
      </c>
    </row>
    <row r="218" spans="2:6">
      <c r="B218" s="88">
        <v>305</v>
      </c>
      <c r="C218" s="89" t="s">
        <v>1145</v>
      </c>
      <c r="D218" s="220" t="s">
        <v>1227</v>
      </c>
      <c r="E218" s="220" t="s">
        <v>1228</v>
      </c>
      <c r="F218" s="220" t="s">
        <v>1228</v>
      </c>
    </row>
    <row r="219" spans="2:6">
      <c r="B219" s="88">
        <v>305</v>
      </c>
      <c r="C219" s="89" t="s">
        <v>1145</v>
      </c>
      <c r="D219" s="220" t="s">
        <v>1547</v>
      </c>
      <c r="E219" s="220" t="s">
        <v>1548</v>
      </c>
      <c r="F219" s="220" t="s">
        <v>1548</v>
      </c>
    </row>
    <row r="220" spans="2:6">
      <c r="B220" s="88">
        <v>306</v>
      </c>
      <c r="C220" s="89" t="s">
        <v>1145</v>
      </c>
      <c r="D220" s="220" t="s">
        <v>1536</v>
      </c>
      <c r="E220" s="220" t="s">
        <v>1537</v>
      </c>
      <c r="F220" s="220" t="s">
        <v>1537</v>
      </c>
    </row>
    <row r="221" spans="2:6">
      <c r="B221" s="88">
        <v>307</v>
      </c>
      <c r="C221" s="89" t="s">
        <v>1145</v>
      </c>
      <c r="D221" s="220" t="s">
        <v>1538</v>
      </c>
      <c r="E221" s="220" t="s">
        <v>1539</v>
      </c>
      <c r="F221" s="220" t="s">
        <v>1539</v>
      </c>
    </row>
    <row r="222" spans="2:6">
      <c r="B222" s="88">
        <v>308</v>
      </c>
      <c r="C222" s="89" t="s">
        <v>1145</v>
      </c>
      <c r="D222" s="220" t="s">
        <v>1540</v>
      </c>
      <c r="E222" s="220" t="s">
        <v>1541</v>
      </c>
      <c r="F222" s="220" t="s">
        <v>1541</v>
      </c>
    </row>
    <row r="223" spans="2:6">
      <c r="B223" s="88">
        <v>309</v>
      </c>
      <c r="C223" s="89" t="s">
        <v>1145</v>
      </c>
      <c r="D223" s="220" t="s">
        <v>1542</v>
      </c>
      <c r="E223" s="220" t="s">
        <v>1543</v>
      </c>
      <c r="F223" s="220" t="s">
        <v>1543</v>
      </c>
    </row>
    <row r="224" spans="2:6">
      <c r="B224" s="88">
        <v>310</v>
      </c>
      <c r="C224" s="89" t="s">
        <v>1145</v>
      </c>
      <c r="D224" s="220" t="s">
        <v>1544</v>
      </c>
      <c r="E224" s="220" t="s">
        <v>1550</v>
      </c>
      <c r="F224" s="220" t="s">
        <v>1550</v>
      </c>
    </row>
    <row r="225" spans="2:6">
      <c r="B225" s="88">
        <v>311</v>
      </c>
      <c r="C225" s="89" t="s">
        <v>1145</v>
      </c>
      <c r="D225" s="220" t="s">
        <v>1545</v>
      </c>
      <c r="E225" s="220" t="s">
        <v>1551</v>
      </c>
      <c r="F225" s="220" t="s">
        <v>1551</v>
      </c>
    </row>
    <row r="226" spans="2:6">
      <c r="B226" s="88">
        <v>312</v>
      </c>
      <c r="C226" s="89" t="s">
        <v>1145</v>
      </c>
      <c r="D226" s="220" t="s">
        <v>1219</v>
      </c>
      <c r="E226" s="220" t="s">
        <v>1552</v>
      </c>
      <c r="F226" s="220" t="s">
        <v>1552</v>
      </c>
    </row>
    <row r="227" spans="2:6">
      <c r="B227" s="88">
        <v>313</v>
      </c>
      <c r="C227" s="89" t="s">
        <v>1145</v>
      </c>
      <c r="D227" s="220" t="s">
        <v>1220</v>
      </c>
      <c r="E227" s="220" t="s">
        <v>1553</v>
      </c>
      <c r="F227" s="220" t="s">
        <v>1553</v>
      </c>
    </row>
    <row r="228" spans="2:6">
      <c r="B228" s="88">
        <v>314</v>
      </c>
      <c r="C228" s="89" t="s">
        <v>1145</v>
      </c>
      <c r="D228" s="220" t="s">
        <v>1221</v>
      </c>
      <c r="E228" s="90" t="s">
        <v>1177</v>
      </c>
      <c r="F228" s="90" t="s">
        <v>1177</v>
      </c>
    </row>
    <row r="229" spans="2:6">
      <c r="B229" s="88">
        <v>315</v>
      </c>
      <c r="C229" s="89" t="s">
        <v>1145</v>
      </c>
      <c r="D229" s="220" t="s">
        <v>1222</v>
      </c>
      <c r="E229" s="90" t="s">
        <v>1178</v>
      </c>
      <c r="F229" s="90" t="s">
        <v>1178</v>
      </c>
    </row>
    <row r="230" spans="2:6">
      <c r="B230" s="88">
        <v>316</v>
      </c>
      <c r="C230" s="89" t="s">
        <v>1145</v>
      </c>
      <c r="D230" s="220" t="s">
        <v>1223</v>
      </c>
      <c r="E230" s="90" t="s">
        <v>1179</v>
      </c>
      <c r="F230" s="90" t="s">
        <v>1179</v>
      </c>
    </row>
    <row r="231" spans="2:6">
      <c r="B231" s="88">
        <v>317</v>
      </c>
      <c r="C231" s="89" t="s">
        <v>1145</v>
      </c>
      <c r="D231" s="220" t="s">
        <v>1224</v>
      </c>
      <c r="E231" s="90" t="s">
        <v>1180</v>
      </c>
      <c r="F231" s="90" t="s">
        <v>1180</v>
      </c>
    </row>
    <row r="232" spans="2:6">
      <c r="B232" s="88">
        <v>318</v>
      </c>
      <c r="C232" s="89" t="s">
        <v>1145</v>
      </c>
      <c r="D232" s="220" t="s">
        <v>1225</v>
      </c>
      <c r="E232" s="220" t="s">
        <v>1226</v>
      </c>
      <c r="F232" s="220" t="s">
        <v>1226</v>
      </c>
    </row>
    <row r="233" spans="2:6" ht="24">
      <c r="B233" s="88">
        <v>319</v>
      </c>
      <c r="D233" s="90" t="s">
        <v>162</v>
      </c>
      <c r="E233" s="90" t="s">
        <v>721</v>
      </c>
      <c r="F233" s="90" t="s">
        <v>721</v>
      </c>
    </row>
    <row r="234" spans="2:6" ht="24">
      <c r="B234" s="88">
        <v>320</v>
      </c>
      <c r="D234" s="90" t="s">
        <v>163</v>
      </c>
      <c r="E234" s="90" t="s">
        <v>722</v>
      </c>
      <c r="F234" s="90" t="s">
        <v>722</v>
      </c>
    </row>
    <row r="235" spans="2:6" ht="24">
      <c r="B235" s="88">
        <v>321</v>
      </c>
      <c r="D235" s="90" t="s">
        <v>164</v>
      </c>
      <c r="E235" s="90" t="s">
        <v>723</v>
      </c>
      <c r="F235" s="90" t="s">
        <v>723</v>
      </c>
    </row>
    <row r="236" spans="2:6" ht="24">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20" t="s">
        <v>961</v>
      </c>
      <c r="F242" s="220" t="s">
        <v>961</v>
      </c>
    </row>
    <row r="243" spans="2:6">
      <c r="B243" s="88">
        <v>329</v>
      </c>
      <c r="C243" s="89" t="s">
        <v>585</v>
      </c>
      <c r="D243" s="87" t="s">
        <v>962</v>
      </c>
      <c r="E243" s="220" t="s">
        <v>963</v>
      </c>
      <c r="F243" s="220"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20" t="s">
        <v>985</v>
      </c>
      <c r="F246" s="220" t="s">
        <v>985</v>
      </c>
    </row>
    <row r="247" spans="2:6" ht="24">
      <c r="B247" s="88">
        <v>333</v>
      </c>
      <c r="D247" s="90" t="s">
        <v>170</v>
      </c>
      <c r="E247" s="90" t="s">
        <v>729</v>
      </c>
      <c r="F247" s="90" t="s">
        <v>729</v>
      </c>
    </row>
    <row r="248" spans="2:6" ht="24">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4">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20" t="s">
        <v>959</v>
      </c>
      <c r="F261" s="220" t="s">
        <v>959</v>
      </c>
    </row>
    <row r="262" spans="2:6" ht="24">
      <c r="B262" s="88">
        <v>348</v>
      </c>
      <c r="C262" s="89" t="s">
        <v>1145</v>
      </c>
      <c r="D262" s="90" t="s">
        <v>1192</v>
      </c>
      <c r="E262" s="90" t="s">
        <v>1153</v>
      </c>
      <c r="F262" s="90" t="s">
        <v>1153</v>
      </c>
    </row>
    <row r="263" spans="2:6" ht="24">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4">
      <c r="B271" s="88">
        <v>357</v>
      </c>
      <c r="C271" s="89" t="s">
        <v>1145</v>
      </c>
      <c r="D271" s="90" t="s">
        <v>1191</v>
      </c>
      <c r="E271" s="90" t="s">
        <v>1190</v>
      </c>
      <c r="F271" s="90" t="s">
        <v>1190</v>
      </c>
    </row>
    <row r="272" spans="2:6" ht="36">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20" t="s">
        <v>987</v>
      </c>
      <c r="F289" s="220"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4">
      <c r="B299" s="88">
        <v>385</v>
      </c>
      <c r="D299" s="90" t="s">
        <v>196</v>
      </c>
      <c r="E299" s="90" t="s">
        <v>759</v>
      </c>
      <c r="F299" s="90" t="s">
        <v>759</v>
      </c>
    </row>
    <row r="300" spans="2:6">
      <c r="B300" s="88">
        <v>386</v>
      </c>
      <c r="D300" s="90" t="s">
        <v>1418</v>
      </c>
      <c r="E300" s="90" t="s">
        <v>1502</v>
      </c>
      <c r="F300" s="90" t="s">
        <v>1502</v>
      </c>
    </row>
    <row r="301" spans="2:6" ht="24">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20" t="s">
        <v>957</v>
      </c>
      <c r="F312" s="220"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20" t="s">
        <v>572</v>
      </c>
      <c r="F317" s="220" t="s">
        <v>572</v>
      </c>
    </row>
    <row r="318" spans="2:6">
      <c r="B318" s="88">
        <v>404</v>
      </c>
      <c r="D318" s="90" t="s">
        <v>205</v>
      </c>
      <c r="E318" s="90" t="s">
        <v>774</v>
      </c>
      <c r="F318" s="90" t="s">
        <v>774</v>
      </c>
    </row>
    <row r="319" spans="2:6">
      <c r="B319" s="88">
        <v>405</v>
      </c>
      <c r="C319" s="89" t="s">
        <v>585</v>
      </c>
      <c r="D319" s="90" t="s">
        <v>579</v>
      </c>
      <c r="E319" s="220" t="s">
        <v>570</v>
      </c>
      <c r="F319" s="220" t="s">
        <v>570</v>
      </c>
    </row>
    <row r="320" spans="2:6">
      <c r="B320" s="88">
        <v>406</v>
      </c>
      <c r="D320" s="90" t="s">
        <v>206</v>
      </c>
      <c r="E320" s="90" t="s">
        <v>775</v>
      </c>
      <c r="F320" s="90" t="s">
        <v>775</v>
      </c>
    </row>
    <row r="321" spans="1:6" ht="36">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4">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17"/>
      <c r="B327" s="88">
        <v>413</v>
      </c>
      <c r="C327" s="218" t="s">
        <v>490</v>
      </c>
      <c r="D327" s="216" t="s">
        <v>519</v>
      </c>
      <c r="E327" s="216" t="s">
        <v>534</v>
      </c>
      <c r="F327" s="216" t="s">
        <v>534</v>
      </c>
    </row>
    <row r="328" spans="1:6">
      <c r="A328" s="217"/>
      <c r="B328" s="88">
        <v>414</v>
      </c>
      <c r="C328" s="218" t="s">
        <v>490</v>
      </c>
      <c r="D328" s="216" t="s">
        <v>520</v>
      </c>
      <c r="E328" s="216" t="s">
        <v>779</v>
      </c>
      <c r="F328" s="216" t="s">
        <v>779</v>
      </c>
    </row>
    <row r="329" spans="1:6">
      <c r="A329" s="217"/>
      <c r="B329" s="88">
        <v>415</v>
      </c>
      <c r="C329" s="218" t="s">
        <v>490</v>
      </c>
      <c r="D329" s="216" t="s">
        <v>521</v>
      </c>
      <c r="E329" s="216" t="s">
        <v>780</v>
      </c>
      <c r="F329" s="216" t="s">
        <v>780</v>
      </c>
    </row>
    <row r="330" spans="1:6">
      <c r="B330" s="88">
        <v>416</v>
      </c>
      <c r="D330" s="90" t="s">
        <v>210</v>
      </c>
      <c r="E330" s="90" t="s">
        <v>534</v>
      </c>
      <c r="F330" s="90" t="s">
        <v>534</v>
      </c>
    </row>
    <row r="331" spans="1:6">
      <c r="B331" s="88">
        <v>417</v>
      </c>
      <c r="D331" s="90" t="s">
        <v>211</v>
      </c>
      <c r="E331" s="216" t="s">
        <v>781</v>
      </c>
      <c r="F331" s="216"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4">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4">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4">
      <c r="B362" s="88">
        <v>448</v>
      </c>
      <c r="D362" s="90" t="s">
        <v>233</v>
      </c>
      <c r="E362" s="90" t="s">
        <v>799</v>
      </c>
      <c r="F362" s="90" t="s">
        <v>799</v>
      </c>
    </row>
    <row r="363" spans="2:6">
      <c r="B363" s="88">
        <v>449</v>
      </c>
      <c r="D363" s="216"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1499</v>
      </c>
      <c r="E372" s="90" t="s">
        <v>1498</v>
      </c>
      <c r="F372" s="90" t="s">
        <v>1498</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4">
      <c r="B376" s="88">
        <v>462</v>
      </c>
      <c r="D376" s="90" t="s">
        <v>1409</v>
      </c>
      <c r="E376" s="90" t="s">
        <v>807</v>
      </c>
      <c r="F376" s="90" t="s">
        <v>807</v>
      </c>
    </row>
    <row r="377" spans="2:6" ht="24">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4">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36">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1509</v>
      </c>
      <c r="E390" s="90" t="s">
        <v>1510</v>
      </c>
      <c r="F390" s="90" t="s">
        <v>1510</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4">
      <c r="B395" s="88">
        <v>481</v>
      </c>
      <c r="D395" s="90" t="s">
        <v>252</v>
      </c>
      <c r="E395" s="90" t="s">
        <v>818</v>
      </c>
      <c r="F395" s="90" t="s">
        <v>818</v>
      </c>
    </row>
    <row r="396" spans="2:6">
      <c r="B396" s="88">
        <v>482</v>
      </c>
      <c r="D396" s="90" t="s">
        <v>1505</v>
      </c>
      <c r="E396" s="90" t="s">
        <v>1425</v>
      </c>
      <c r="F396" s="90" t="s">
        <v>1425</v>
      </c>
    </row>
    <row r="397" spans="2:6">
      <c r="B397" s="88">
        <v>483</v>
      </c>
      <c r="D397" s="90" t="s">
        <v>1503</v>
      </c>
      <c r="E397" s="90" t="s">
        <v>1420</v>
      </c>
      <c r="F397" s="90" t="s">
        <v>1420</v>
      </c>
    </row>
    <row r="398" spans="2:6">
      <c r="B398" s="88">
        <v>484</v>
      </c>
      <c r="D398" s="90" t="s">
        <v>1504</v>
      </c>
      <c r="E398" s="90" t="s">
        <v>1421</v>
      </c>
      <c r="F398" s="90" t="s">
        <v>1421</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48">
      <c r="B408" s="88">
        <v>494</v>
      </c>
      <c r="D408" s="90" t="s">
        <v>258</v>
      </c>
      <c r="E408" s="90" t="s">
        <v>823</v>
      </c>
      <c r="F408" s="90" t="s">
        <v>823</v>
      </c>
    </row>
    <row r="409" spans="2:6">
      <c r="B409" s="88">
        <v>495</v>
      </c>
      <c r="D409" s="90" t="s">
        <v>259</v>
      </c>
      <c r="E409" s="90" t="s">
        <v>824</v>
      </c>
      <c r="F409" s="90" t="s">
        <v>824</v>
      </c>
    </row>
    <row r="410" spans="2:6" ht="24">
      <c r="B410" s="88">
        <v>496</v>
      </c>
      <c r="D410" s="90" t="s">
        <v>260</v>
      </c>
      <c r="E410" s="90" t="s">
        <v>825</v>
      </c>
      <c r="F410" s="90" t="s">
        <v>825</v>
      </c>
    </row>
    <row r="411" spans="2:6" ht="24">
      <c r="B411" s="88">
        <v>497</v>
      </c>
      <c r="D411" s="90" t="s">
        <v>261</v>
      </c>
      <c r="E411" s="90" t="s">
        <v>826</v>
      </c>
      <c r="F411" s="90" t="s">
        <v>826</v>
      </c>
    </row>
    <row r="412" spans="2:6" ht="24">
      <c r="B412" s="88">
        <v>498</v>
      </c>
      <c r="D412" s="90" t="s">
        <v>262</v>
      </c>
      <c r="E412" s="90" t="s">
        <v>827</v>
      </c>
      <c r="F412" s="90" t="s">
        <v>827</v>
      </c>
    </row>
    <row r="413" spans="2:6" ht="24">
      <c r="B413" s="88">
        <v>499</v>
      </c>
      <c r="D413" s="90" t="s">
        <v>263</v>
      </c>
      <c r="E413" s="90" t="s">
        <v>828</v>
      </c>
      <c r="F413" s="90" t="s">
        <v>828</v>
      </c>
    </row>
    <row r="414" spans="2:6" ht="24">
      <c r="B414" s="88">
        <v>500</v>
      </c>
      <c r="D414" s="90" t="s">
        <v>264</v>
      </c>
      <c r="E414" s="90" t="s">
        <v>829</v>
      </c>
      <c r="F414" s="90" t="s">
        <v>829</v>
      </c>
    </row>
    <row r="415" spans="2:6" ht="24">
      <c r="B415" s="88">
        <v>501</v>
      </c>
      <c r="D415" s="90" t="s">
        <v>265</v>
      </c>
      <c r="E415" s="90" t="s">
        <v>830</v>
      </c>
      <c r="F415" s="90" t="s">
        <v>830</v>
      </c>
    </row>
    <row r="416" spans="2:6" ht="24">
      <c r="B416" s="88">
        <v>502</v>
      </c>
      <c r="D416" s="90" t="s">
        <v>266</v>
      </c>
      <c r="E416" s="90" t="s">
        <v>831</v>
      </c>
      <c r="F416" s="90" t="s">
        <v>831</v>
      </c>
    </row>
    <row r="417" spans="2:6" ht="24">
      <c r="B417" s="88">
        <v>503</v>
      </c>
      <c r="D417" s="90" t="s">
        <v>267</v>
      </c>
      <c r="E417" s="90" t="s">
        <v>832</v>
      </c>
      <c r="F417" s="90" t="s">
        <v>832</v>
      </c>
    </row>
    <row r="418" spans="2:6" ht="24">
      <c r="B418" s="88">
        <v>504</v>
      </c>
      <c r="D418" s="90" t="s">
        <v>268</v>
      </c>
      <c r="E418" s="90" t="s">
        <v>833</v>
      </c>
      <c r="F418" s="90" t="s">
        <v>833</v>
      </c>
    </row>
    <row r="419" spans="2:6" ht="24">
      <c r="B419" s="88">
        <v>505</v>
      </c>
      <c r="D419" s="90" t="s">
        <v>269</v>
      </c>
      <c r="E419" s="90" t="s">
        <v>834</v>
      </c>
      <c r="F419" s="90" t="s">
        <v>834</v>
      </c>
    </row>
    <row r="420" spans="2:6" ht="24">
      <c r="B420" s="88">
        <v>506</v>
      </c>
      <c r="D420" s="90" t="s">
        <v>270</v>
      </c>
      <c r="E420" s="90" t="s">
        <v>835</v>
      </c>
      <c r="F420" s="90" t="s">
        <v>835</v>
      </c>
    </row>
    <row r="421" spans="2:6" ht="24">
      <c r="B421" s="88">
        <v>507</v>
      </c>
      <c r="D421" s="90" t="s">
        <v>271</v>
      </c>
      <c r="E421" s="90" t="s">
        <v>836</v>
      </c>
      <c r="F421" s="90" t="s">
        <v>836</v>
      </c>
    </row>
    <row r="422" spans="2:6" ht="24">
      <c r="B422" s="88">
        <v>508</v>
      </c>
      <c r="D422" s="90" t="s">
        <v>272</v>
      </c>
      <c r="E422" s="90" t="s">
        <v>837</v>
      </c>
      <c r="F422" s="90" t="s">
        <v>837</v>
      </c>
    </row>
    <row r="423" spans="2:6" ht="24">
      <c r="B423" s="88">
        <v>509</v>
      </c>
      <c r="D423" s="90" t="s">
        <v>273</v>
      </c>
      <c r="E423" s="90" t="s">
        <v>838</v>
      </c>
      <c r="F423" s="90" t="s">
        <v>838</v>
      </c>
    </row>
    <row r="424" spans="2:6" ht="24">
      <c r="B424" s="88">
        <v>510</v>
      </c>
      <c r="D424" s="90" t="s">
        <v>274</v>
      </c>
      <c r="E424" s="90" t="s">
        <v>839</v>
      </c>
      <c r="F424" s="90" t="s">
        <v>839</v>
      </c>
    </row>
    <row r="425" spans="2:6" ht="24">
      <c r="B425" s="88">
        <v>511</v>
      </c>
      <c r="D425" s="90" t="s">
        <v>275</v>
      </c>
      <c r="E425" s="90" t="s">
        <v>840</v>
      </c>
      <c r="F425" s="90" t="s">
        <v>840</v>
      </c>
    </row>
    <row r="426" spans="2:6" ht="24">
      <c r="B426" s="88">
        <v>512</v>
      </c>
      <c r="D426" s="90" t="s">
        <v>276</v>
      </c>
      <c r="E426" s="90" t="s">
        <v>841</v>
      </c>
      <c r="F426" s="90" t="s">
        <v>841</v>
      </c>
    </row>
    <row r="427" spans="2:6" ht="24">
      <c r="B427" s="88">
        <v>513</v>
      </c>
      <c r="D427" s="90" t="s">
        <v>277</v>
      </c>
      <c r="E427" s="90" t="s">
        <v>842</v>
      </c>
      <c r="F427" s="90" t="s">
        <v>842</v>
      </c>
    </row>
    <row r="428" spans="2:6" ht="24">
      <c r="B428" s="88">
        <v>514</v>
      </c>
      <c r="D428" s="90" t="s">
        <v>278</v>
      </c>
      <c r="E428" s="90" t="s">
        <v>843</v>
      </c>
      <c r="F428" s="90" t="s">
        <v>843</v>
      </c>
    </row>
    <row r="429" spans="2:6" ht="24">
      <c r="B429" s="88">
        <v>515</v>
      </c>
      <c r="D429" s="90" t="s">
        <v>279</v>
      </c>
      <c r="E429" s="90" t="s">
        <v>844</v>
      </c>
      <c r="F429" s="90" t="s">
        <v>844</v>
      </c>
    </row>
    <row r="430" spans="2:6" ht="24">
      <c r="B430" s="88">
        <v>516</v>
      </c>
      <c r="D430" s="90" t="s">
        <v>280</v>
      </c>
      <c r="E430" s="90" t="s">
        <v>845</v>
      </c>
      <c r="F430" s="90" t="s">
        <v>845</v>
      </c>
    </row>
    <row r="431" spans="2:6" ht="24">
      <c r="B431" s="88">
        <v>517</v>
      </c>
      <c r="D431" s="90" t="s">
        <v>472</v>
      </c>
      <c r="E431" s="90" t="s">
        <v>846</v>
      </c>
      <c r="F431" s="90" t="s">
        <v>846</v>
      </c>
    </row>
    <row r="432" spans="2:6" ht="24">
      <c r="B432" s="88">
        <v>518</v>
      </c>
      <c r="D432" s="90" t="s">
        <v>473</v>
      </c>
      <c r="E432" s="90" t="s">
        <v>846</v>
      </c>
      <c r="F432" s="90" t="s">
        <v>846</v>
      </c>
    </row>
    <row r="433" spans="1:27" ht="24">
      <c r="B433" s="88">
        <v>519</v>
      </c>
      <c r="D433" s="90" t="s">
        <v>281</v>
      </c>
      <c r="E433" s="90" t="s">
        <v>847</v>
      </c>
      <c r="F433" s="90" t="s">
        <v>847</v>
      </c>
    </row>
    <row r="434" spans="1:27" ht="24">
      <c r="B434" s="88">
        <v>520</v>
      </c>
      <c r="D434" s="90" t="s">
        <v>282</v>
      </c>
      <c r="E434" s="90" t="s">
        <v>848</v>
      </c>
      <c r="F434" s="90" t="s">
        <v>848</v>
      </c>
    </row>
    <row r="435" spans="1:27" ht="24">
      <c r="B435" s="88">
        <v>521</v>
      </c>
      <c r="D435" s="90" t="s">
        <v>283</v>
      </c>
      <c r="E435" s="90" t="s">
        <v>849</v>
      </c>
      <c r="F435" s="90" t="s">
        <v>849</v>
      </c>
    </row>
    <row r="436" spans="1:27" ht="24">
      <c r="B436" s="88">
        <v>522</v>
      </c>
      <c r="D436" s="90" t="s">
        <v>284</v>
      </c>
      <c r="E436" s="90" t="s">
        <v>850</v>
      </c>
      <c r="F436" s="90" t="s">
        <v>850</v>
      </c>
    </row>
    <row r="437" spans="1:27" ht="24">
      <c r="B437" s="88">
        <v>523</v>
      </c>
      <c r="D437" s="90" t="s">
        <v>474</v>
      </c>
      <c r="E437" s="90" t="s">
        <v>851</v>
      </c>
      <c r="F437" s="90" t="s">
        <v>851</v>
      </c>
    </row>
    <row r="438" spans="1:27" s="216" customFormat="1" ht="24">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6"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7" customFormat="1" ht="36">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7"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7" customFormat="1" ht="36">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7" customFormat="1" ht="24">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7" customFormat="1" ht="24">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7" customFormat="1" ht="24">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7" customFormat="1" ht="24">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7"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7"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7" customFormat="1" ht="24">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7"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4">
      <c r="B453" s="88">
        <v>539</v>
      </c>
      <c r="D453" s="90" t="s">
        <v>476</v>
      </c>
      <c r="E453" s="90" t="s">
        <v>867</v>
      </c>
      <c r="F453" s="90" t="s">
        <v>867</v>
      </c>
    </row>
    <row r="454" spans="1:27" ht="48">
      <c r="A454" s="216"/>
      <c r="B454" s="88">
        <v>540</v>
      </c>
      <c r="C454" s="222" t="s">
        <v>508</v>
      </c>
      <c r="D454" s="216" t="s">
        <v>524</v>
      </c>
      <c r="E454" s="216" t="s">
        <v>868</v>
      </c>
      <c r="F454" s="216" t="s">
        <v>868</v>
      </c>
    </row>
    <row r="455" spans="1:27" ht="36">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4">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4">
      <c r="B463" s="88">
        <v>549</v>
      </c>
      <c r="D463" s="90" t="s">
        <v>1274</v>
      </c>
      <c r="E463" s="90" t="s">
        <v>1275</v>
      </c>
      <c r="F463" s="90" t="s">
        <v>1275</v>
      </c>
    </row>
    <row r="464" spans="1:27">
      <c r="B464" s="88">
        <v>550</v>
      </c>
      <c r="D464" s="90" t="s">
        <v>1276</v>
      </c>
      <c r="E464" s="90" t="s">
        <v>1277</v>
      </c>
      <c r="F464" s="90" t="s">
        <v>1277</v>
      </c>
    </row>
    <row r="465" spans="2:6" ht="24">
      <c r="B465" s="88">
        <v>551</v>
      </c>
      <c r="D465" s="90" t="s">
        <v>306</v>
      </c>
      <c r="E465" s="90" t="s">
        <v>876</v>
      </c>
      <c r="F465" s="90" t="s">
        <v>876</v>
      </c>
    </row>
    <row r="466" spans="2:6">
      <c r="B466" s="88">
        <v>552</v>
      </c>
      <c r="D466" s="90" t="s">
        <v>477</v>
      </c>
      <c r="E466" s="90" t="s">
        <v>877</v>
      </c>
      <c r="F466" s="90" t="s">
        <v>877</v>
      </c>
    </row>
    <row r="467" spans="2:6" ht="24">
      <c r="B467" s="88">
        <v>553</v>
      </c>
      <c r="D467" s="90" t="s">
        <v>307</v>
      </c>
      <c r="E467" s="90" t="s">
        <v>878</v>
      </c>
      <c r="F467" s="90" t="s">
        <v>878</v>
      </c>
    </row>
    <row r="468" spans="2:6" ht="24">
      <c r="B468" s="88">
        <v>554</v>
      </c>
      <c r="D468" s="90" t="s">
        <v>478</v>
      </c>
      <c r="E468" s="90" t="s">
        <v>879</v>
      </c>
      <c r="F468" s="90" t="s">
        <v>879</v>
      </c>
    </row>
    <row r="469" spans="2:6" ht="24">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4">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36">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36">
      <c r="B481" s="88">
        <v>567</v>
      </c>
      <c r="D481" s="90" t="s">
        <v>317</v>
      </c>
      <c r="E481" s="90" t="s">
        <v>890</v>
      </c>
      <c r="F481" s="90" t="s">
        <v>890</v>
      </c>
    </row>
    <row r="482" spans="2:6" ht="24">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4">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1316</v>
      </c>
      <c r="E488" s="90" t="s">
        <v>1317</v>
      </c>
      <c r="F488" s="90" t="s">
        <v>1317</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36">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20" t="s">
        <v>571</v>
      </c>
      <c r="F495" s="220" t="s">
        <v>571</v>
      </c>
    </row>
    <row r="496" spans="2:6">
      <c r="B496" s="88">
        <v>582</v>
      </c>
      <c r="C496" s="89" t="s">
        <v>585</v>
      </c>
      <c r="D496" s="90" t="s">
        <v>578</v>
      </c>
      <c r="E496" s="220" t="s">
        <v>569</v>
      </c>
      <c r="F496" s="220" t="s">
        <v>569</v>
      </c>
    </row>
    <row r="497" spans="1:6">
      <c r="B497" s="88">
        <v>583</v>
      </c>
      <c r="D497" s="90" t="s">
        <v>326</v>
      </c>
      <c r="E497" s="90" t="s">
        <v>902</v>
      </c>
      <c r="F497" s="90" t="s">
        <v>902</v>
      </c>
    </row>
    <row r="498" spans="1:6" ht="36">
      <c r="B498" s="88">
        <v>584</v>
      </c>
      <c r="D498" s="90" t="s">
        <v>327</v>
      </c>
      <c r="E498" s="90" t="s">
        <v>903</v>
      </c>
      <c r="F498" s="90" t="s">
        <v>903</v>
      </c>
    </row>
    <row r="499" spans="1:6">
      <c r="B499" s="88">
        <v>585</v>
      </c>
      <c r="D499" s="90" t="s">
        <v>328</v>
      </c>
      <c r="E499" s="90" t="s">
        <v>904</v>
      </c>
      <c r="F499" s="90" t="s">
        <v>904</v>
      </c>
    </row>
    <row r="500" spans="1:6">
      <c r="A500" s="217"/>
      <c r="B500" s="88">
        <v>586</v>
      </c>
      <c r="C500" s="218" t="s">
        <v>490</v>
      </c>
      <c r="D500" s="216" t="s">
        <v>496</v>
      </c>
      <c r="E500" s="216" t="s">
        <v>905</v>
      </c>
      <c r="F500" s="216" t="s">
        <v>905</v>
      </c>
    </row>
    <row r="501" spans="1:6">
      <c r="A501" s="217"/>
      <c r="B501" s="88">
        <v>587</v>
      </c>
      <c r="C501" s="218" t="s">
        <v>490</v>
      </c>
      <c r="D501" s="216" t="s">
        <v>525</v>
      </c>
      <c r="E501" s="216" t="s">
        <v>906</v>
      </c>
      <c r="F501" s="216" t="s">
        <v>906</v>
      </c>
    </row>
    <row r="502" spans="1:6">
      <c r="B502" s="88">
        <v>588</v>
      </c>
      <c r="D502" s="90" t="s">
        <v>329</v>
      </c>
      <c r="E502" s="216" t="s">
        <v>907</v>
      </c>
      <c r="F502" s="216" t="s">
        <v>907</v>
      </c>
    </row>
    <row r="503" spans="1:6">
      <c r="B503" s="88">
        <v>589</v>
      </c>
      <c r="D503" s="90" t="s">
        <v>330</v>
      </c>
      <c r="E503" s="90" t="s">
        <v>908</v>
      </c>
      <c r="F503" s="90" t="s">
        <v>908</v>
      </c>
    </row>
    <row r="504" spans="1:6">
      <c r="B504" s="88">
        <v>590</v>
      </c>
      <c r="D504" s="90" t="s">
        <v>331</v>
      </c>
      <c r="E504" s="90" t="s">
        <v>909</v>
      </c>
      <c r="F504" s="90" t="s">
        <v>909</v>
      </c>
    </row>
    <row r="505" spans="1:6" ht="24">
      <c r="B505" s="88">
        <v>591</v>
      </c>
      <c r="D505" s="90" t="s">
        <v>332</v>
      </c>
      <c r="E505" s="90" t="s">
        <v>910</v>
      </c>
      <c r="F505" s="90" t="s">
        <v>910</v>
      </c>
    </row>
    <row r="506" spans="1:6">
      <c r="B506" s="88">
        <v>592</v>
      </c>
      <c r="D506" s="90" t="s">
        <v>333</v>
      </c>
      <c r="E506" s="90" t="s">
        <v>911</v>
      </c>
      <c r="F506" s="90" t="s">
        <v>911</v>
      </c>
    </row>
    <row r="507" spans="1:6" ht="36">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4">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1414</v>
      </c>
      <c r="E529" s="90" t="s">
        <v>1416</v>
      </c>
      <c r="F529" s="90" t="s">
        <v>1416</v>
      </c>
    </row>
    <row r="530" spans="1:6">
      <c r="B530" s="88">
        <v>616</v>
      </c>
      <c r="D530" s="90" t="s">
        <v>1413</v>
      </c>
      <c r="E530" s="90" t="s">
        <v>1415</v>
      </c>
      <c r="F530" s="90" t="s">
        <v>1415</v>
      </c>
    </row>
    <row r="531" spans="1:6" ht="24">
      <c r="B531" s="88">
        <v>617</v>
      </c>
      <c r="C531" s="89" t="s">
        <v>1145</v>
      </c>
      <c r="D531" s="90" t="s">
        <v>1186</v>
      </c>
      <c r="E531" s="90" t="s">
        <v>1149</v>
      </c>
      <c r="F531" s="90" t="s">
        <v>1149</v>
      </c>
    </row>
    <row r="532" spans="1:6" ht="36">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4">
      <c r="A544" s="216"/>
      <c r="B544" s="88">
        <v>630</v>
      </c>
      <c r="C544" s="216"/>
      <c r="D544" s="216" t="s">
        <v>526</v>
      </c>
      <c r="E544" s="216" t="s">
        <v>930</v>
      </c>
      <c r="F544" s="216" t="s">
        <v>930</v>
      </c>
    </row>
    <row r="545" spans="2:6">
      <c r="B545" s="88">
        <v>631</v>
      </c>
      <c r="C545" s="89" t="s">
        <v>1145</v>
      </c>
      <c r="D545" s="90" t="s">
        <v>1183</v>
      </c>
      <c r="E545" s="90" t="s">
        <v>1144</v>
      </c>
      <c r="F545" s="90" t="s">
        <v>1144</v>
      </c>
    </row>
    <row r="546" spans="2:6">
      <c r="B546" s="88">
        <v>632</v>
      </c>
      <c r="C546" s="89" t="s">
        <v>1145</v>
      </c>
      <c r="D546" s="90" t="s">
        <v>1557</v>
      </c>
      <c r="E546" s="90" t="s">
        <v>1558</v>
      </c>
      <c r="F546" s="90" t="s">
        <v>1558</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4">
      <c r="B551" s="88">
        <v>637</v>
      </c>
      <c r="C551" s="89" t="s">
        <v>1145</v>
      </c>
      <c r="D551" s="90" t="s">
        <v>1204</v>
      </c>
      <c r="E551" s="90" t="s">
        <v>1203</v>
      </c>
      <c r="F551" s="90" t="s">
        <v>1203</v>
      </c>
    </row>
    <row r="552" spans="2:6">
      <c r="B552" s="88">
        <v>638</v>
      </c>
      <c r="D552" s="90" t="s">
        <v>357</v>
      </c>
      <c r="E552" s="90" t="s">
        <v>934</v>
      </c>
      <c r="F552" s="90" t="s">
        <v>934</v>
      </c>
    </row>
    <row r="553" spans="2:6" ht="36">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4">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16"/>
      <c r="H562" s="216"/>
      <c r="I562" s="216"/>
      <c r="J562" s="216"/>
      <c r="K562" s="216"/>
      <c r="L562" s="216"/>
      <c r="M562" s="216"/>
      <c r="N562" s="216"/>
      <c r="O562" s="216"/>
      <c r="P562" s="216"/>
      <c r="Q562" s="216"/>
      <c r="R562" s="216"/>
      <c r="S562" s="216"/>
      <c r="T562" s="216"/>
      <c r="U562" s="216"/>
      <c r="V562" s="216"/>
      <c r="W562" s="216"/>
      <c r="X562" s="216"/>
      <c r="Y562" s="216"/>
      <c r="Z562" s="216"/>
      <c r="AA562" s="216"/>
    </row>
    <row r="563" spans="2:27" ht="24">
      <c r="B563" s="88">
        <v>649</v>
      </c>
      <c r="D563" s="90" t="s">
        <v>366</v>
      </c>
      <c r="E563" s="90" t="s">
        <v>943</v>
      </c>
      <c r="F563" s="90" t="s">
        <v>943</v>
      </c>
      <c r="G563" s="216"/>
      <c r="H563" s="216"/>
      <c r="I563" s="216"/>
      <c r="J563" s="216"/>
      <c r="K563" s="216"/>
      <c r="L563" s="216"/>
      <c r="M563" s="216"/>
      <c r="N563" s="216"/>
      <c r="O563" s="216"/>
      <c r="P563" s="216"/>
      <c r="Q563" s="216"/>
      <c r="R563" s="216"/>
      <c r="S563" s="216"/>
      <c r="T563" s="216"/>
      <c r="U563" s="216"/>
      <c r="V563" s="216"/>
      <c r="W563" s="216"/>
      <c r="X563" s="216"/>
      <c r="Y563" s="216"/>
      <c r="Z563" s="216"/>
      <c r="AA563" s="216"/>
    </row>
    <row r="564" spans="2:27">
      <c r="B564" s="88">
        <v>650</v>
      </c>
      <c r="D564" s="90" t="s">
        <v>367</v>
      </c>
      <c r="E564" s="90" t="s">
        <v>935</v>
      </c>
      <c r="F564" s="90" t="s">
        <v>935</v>
      </c>
      <c r="G564" s="217"/>
      <c r="H564" s="217"/>
      <c r="I564" s="217"/>
      <c r="J564" s="217"/>
      <c r="K564" s="217"/>
      <c r="L564" s="217"/>
      <c r="M564" s="217"/>
      <c r="N564" s="217"/>
      <c r="O564" s="217"/>
      <c r="P564" s="217"/>
      <c r="Q564" s="217"/>
      <c r="R564" s="217"/>
      <c r="S564" s="217"/>
      <c r="T564" s="217"/>
      <c r="U564" s="217"/>
      <c r="V564" s="217"/>
      <c r="W564" s="217"/>
      <c r="X564" s="217"/>
      <c r="Y564" s="217"/>
      <c r="Z564" s="217"/>
      <c r="AA564" s="217"/>
    </row>
    <row r="565" spans="2:27" ht="24">
      <c r="B565" s="88">
        <v>651</v>
      </c>
      <c r="C565" s="89" t="s">
        <v>1145</v>
      </c>
      <c r="D565" s="90" t="s">
        <v>1205</v>
      </c>
      <c r="E565" s="90" t="s">
        <v>1167</v>
      </c>
      <c r="F565" s="90" t="s">
        <v>1167</v>
      </c>
    </row>
    <row r="566" spans="2:27" ht="24">
      <c r="B566" s="88">
        <v>652</v>
      </c>
      <c r="D566" s="90" t="s">
        <v>368</v>
      </c>
      <c r="E566" s="90" t="s">
        <v>944</v>
      </c>
      <c r="F566" s="90" t="s">
        <v>944</v>
      </c>
      <c r="G566" s="217"/>
      <c r="H566" s="217"/>
      <c r="I566" s="217"/>
      <c r="J566" s="217"/>
      <c r="K566" s="217"/>
      <c r="L566" s="217"/>
      <c r="M566" s="217"/>
      <c r="N566" s="217"/>
      <c r="O566" s="217"/>
      <c r="P566" s="217"/>
      <c r="Q566" s="217"/>
      <c r="R566" s="217"/>
      <c r="S566" s="217"/>
      <c r="T566" s="217"/>
      <c r="U566" s="217"/>
      <c r="V566" s="217"/>
      <c r="W566" s="217"/>
      <c r="X566" s="217"/>
      <c r="Y566" s="217"/>
      <c r="Z566" s="217"/>
      <c r="AA566" s="217"/>
    </row>
    <row r="567" spans="2:27" ht="36">
      <c r="B567" s="88">
        <v>653</v>
      </c>
      <c r="D567" s="90" t="s">
        <v>369</v>
      </c>
      <c r="E567" s="90" t="s">
        <v>945</v>
      </c>
      <c r="F567" s="90" t="s">
        <v>945</v>
      </c>
      <c r="G567" s="217"/>
      <c r="H567" s="217"/>
      <c r="I567" s="217"/>
      <c r="J567" s="217"/>
      <c r="K567" s="217"/>
      <c r="L567" s="217"/>
      <c r="M567" s="217"/>
      <c r="N567" s="217"/>
      <c r="O567" s="217"/>
      <c r="P567" s="217"/>
      <c r="Q567" s="217"/>
      <c r="R567" s="217"/>
      <c r="S567" s="217"/>
      <c r="T567" s="217"/>
      <c r="U567" s="217"/>
      <c r="V567" s="217"/>
      <c r="W567" s="217"/>
      <c r="X567" s="217"/>
      <c r="Y567" s="217"/>
      <c r="Z567" s="217"/>
      <c r="AA567" s="217"/>
    </row>
    <row r="568" spans="2:27">
      <c r="B568" s="88">
        <v>654</v>
      </c>
      <c r="D568" s="90" t="s">
        <v>370</v>
      </c>
      <c r="E568" s="90" t="s">
        <v>946</v>
      </c>
      <c r="F568" s="90" t="s">
        <v>946</v>
      </c>
      <c r="G568" s="217"/>
      <c r="H568" s="217"/>
      <c r="I568" s="217"/>
      <c r="J568" s="217"/>
      <c r="K568" s="217"/>
      <c r="L568" s="217"/>
      <c r="M568" s="217"/>
      <c r="N568" s="217"/>
      <c r="O568" s="217"/>
      <c r="P568" s="217"/>
      <c r="Q568" s="217"/>
      <c r="R568" s="217"/>
      <c r="S568" s="217"/>
      <c r="T568" s="217"/>
      <c r="U568" s="217"/>
      <c r="V568" s="217"/>
      <c r="W568" s="217"/>
      <c r="X568" s="217"/>
      <c r="Y568" s="217"/>
      <c r="Z568" s="217"/>
      <c r="AA568" s="217"/>
    </row>
    <row r="569" spans="2:27" ht="36">
      <c r="B569" s="88">
        <v>655</v>
      </c>
      <c r="D569" s="90" t="s">
        <v>371</v>
      </c>
      <c r="E569" s="90" t="s">
        <v>947</v>
      </c>
      <c r="F569" s="90" t="s">
        <v>947</v>
      </c>
      <c r="G569" s="217"/>
      <c r="H569" s="217"/>
      <c r="I569" s="217"/>
      <c r="J569" s="217"/>
      <c r="K569" s="217"/>
      <c r="L569" s="217"/>
      <c r="M569" s="217"/>
      <c r="N569" s="217"/>
      <c r="O569" s="217"/>
      <c r="P569" s="217"/>
      <c r="Q569" s="217"/>
      <c r="R569" s="217"/>
      <c r="S569" s="217"/>
      <c r="T569" s="217"/>
      <c r="U569" s="217"/>
      <c r="V569" s="217"/>
      <c r="W569" s="217"/>
      <c r="X569" s="217"/>
      <c r="Y569" s="217"/>
      <c r="Z569" s="217"/>
      <c r="AA569" s="217"/>
    </row>
    <row r="570" spans="2:27">
      <c r="B570" s="88">
        <v>656</v>
      </c>
      <c r="D570" s="90" t="s">
        <v>372</v>
      </c>
      <c r="E570" s="90" t="s">
        <v>948</v>
      </c>
      <c r="F570" s="90" t="s">
        <v>948</v>
      </c>
      <c r="G570" s="217"/>
      <c r="H570" s="217"/>
      <c r="I570" s="217"/>
      <c r="J570" s="217"/>
      <c r="K570" s="217"/>
      <c r="L570" s="217"/>
      <c r="M570" s="217"/>
      <c r="N570" s="217"/>
      <c r="O570" s="217"/>
      <c r="P570" s="217"/>
      <c r="Q570" s="217"/>
      <c r="R570" s="217"/>
      <c r="S570" s="217"/>
      <c r="T570" s="217"/>
      <c r="U570" s="217"/>
      <c r="V570" s="217"/>
      <c r="W570" s="217"/>
      <c r="X570" s="217"/>
      <c r="Y570" s="217"/>
      <c r="Z570" s="217"/>
      <c r="AA570" s="217"/>
    </row>
    <row r="571" spans="2:27">
      <c r="B571" s="88">
        <v>657</v>
      </c>
      <c r="D571" s="90" t="s">
        <v>373</v>
      </c>
      <c r="E571" s="90" t="s">
        <v>949</v>
      </c>
      <c r="F571" s="90" t="s">
        <v>949</v>
      </c>
      <c r="G571" s="217"/>
      <c r="H571" s="217"/>
      <c r="I571" s="217"/>
      <c r="J571" s="217"/>
      <c r="K571" s="217"/>
      <c r="L571" s="217"/>
      <c r="M571" s="217"/>
      <c r="N571" s="217"/>
      <c r="O571" s="217"/>
      <c r="P571" s="217"/>
      <c r="Q571" s="217"/>
      <c r="R571" s="217"/>
      <c r="S571" s="217"/>
      <c r="T571" s="217"/>
      <c r="U571" s="217"/>
      <c r="V571" s="217"/>
      <c r="W571" s="217"/>
      <c r="X571" s="217"/>
      <c r="Y571" s="217"/>
      <c r="Z571" s="217"/>
      <c r="AA571" s="217"/>
    </row>
    <row r="572" spans="2:27">
      <c r="B572" s="88">
        <v>658</v>
      </c>
      <c r="D572" s="90" t="s">
        <v>374</v>
      </c>
      <c r="E572" s="90" t="s">
        <v>950</v>
      </c>
      <c r="F572" s="90" t="s">
        <v>950</v>
      </c>
      <c r="G572" s="217"/>
      <c r="H572" s="217"/>
      <c r="I572" s="217"/>
      <c r="J572" s="217"/>
      <c r="K572" s="217"/>
      <c r="L572" s="217"/>
      <c r="M572" s="217"/>
      <c r="N572" s="217"/>
      <c r="O572" s="217"/>
      <c r="P572" s="217"/>
      <c r="Q572" s="217"/>
      <c r="R572" s="217"/>
      <c r="S572" s="217"/>
      <c r="T572" s="217"/>
      <c r="U572" s="217"/>
      <c r="V572" s="217"/>
      <c r="W572" s="217"/>
      <c r="X572" s="217"/>
      <c r="Y572" s="217"/>
      <c r="Z572" s="217"/>
      <c r="AA572" s="217"/>
    </row>
    <row r="573" spans="2:27">
      <c r="B573" s="88">
        <v>659</v>
      </c>
      <c r="D573" s="90" t="s">
        <v>375</v>
      </c>
      <c r="E573" s="90" t="s">
        <v>951</v>
      </c>
      <c r="F573" s="90" t="s">
        <v>951</v>
      </c>
      <c r="G573" s="217"/>
      <c r="H573" s="217"/>
      <c r="I573" s="217"/>
      <c r="J573" s="217"/>
      <c r="K573" s="217"/>
      <c r="L573" s="217"/>
      <c r="M573" s="217"/>
      <c r="N573" s="217"/>
      <c r="O573" s="217"/>
      <c r="P573" s="217"/>
      <c r="Q573" s="217"/>
      <c r="R573" s="217"/>
      <c r="S573" s="217"/>
      <c r="T573" s="217"/>
      <c r="U573" s="217"/>
      <c r="V573" s="217"/>
      <c r="W573" s="217"/>
      <c r="X573" s="217"/>
      <c r="Y573" s="217"/>
      <c r="Z573" s="217"/>
      <c r="AA573" s="217"/>
    </row>
    <row r="574" spans="2:27">
      <c r="B574" s="88">
        <v>660</v>
      </c>
      <c r="D574" s="90" t="s">
        <v>376</v>
      </c>
      <c r="E574" s="90" t="s">
        <v>952</v>
      </c>
      <c r="F574" s="90" t="s">
        <v>952</v>
      </c>
      <c r="G574" s="217"/>
      <c r="H574" s="217"/>
      <c r="I574" s="217"/>
      <c r="J574" s="217"/>
      <c r="K574" s="217"/>
      <c r="L574" s="217"/>
      <c r="M574" s="217"/>
      <c r="N574" s="217"/>
      <c r="O574" s="217"/>
      <c r="P574" s="217"/>
      <c r="Q574" s="217"/>
      <c r="R574" s="217"/>
      <c r="S574" s="217"/>
      <c r="T574" s="217"/>
      <c r="U574" s="217"/>
      <c r="V574" s="217"/>
      <c r="W574" s="217"/>
      <c r="X574" s="217"/>
      <c r="Y574" s="217"/>
      <c r="Z574" s="217"/>
      <c r="AA574" s="217"/>
    </row>
    <row r="575" spans="2:27">
      <c r="B575" s="88">
        <v>661</v>
      </c>
      <c r="D575" s="90" t="s">
        <v>377</v>
      </c>
      <c r="E575" s="90" t="s">
        <v>953</v>
      </c>
      <c r="F575" s="90" t="s">
        <v>953</v>
      </c>
      <c r="G575" s="217"/>
      <c r="H575" s="217"/>
      <c r="I575" s="217"/>
      <c r="J575" s="217"/>
      <c r="K575" s="217"/>
      <c r="L575" s="217"/>
      <c r="M575" s="217"/>
      <c r="N575" s="217"/>
      <c r="O575" s="217"/>
      <c r="P575" s="217"/>
      <c r="Q575" s="217"/>
      <c r="R575" s="217"/>
      <c r="S575" s="217"/>
      <c r="T575" s="217"/>
      <c r="U575" s="217"/>
      <c r="V575" s="217"/>
      <c r="W575" s="217"/>
      <c r="X575" s="217"/>
      <c r="Y575" s="217"/>
      <c r="Z575" s="217"/>
      <c r="AA575" s="217"/>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N1" zoomScale="81" zoomScaleNormal="81" workbookViewId="0">
      <selection activeCell="T37" sqref="T37"/>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1289</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1340</v>
      </c>
      <c r="N2" s="131" t="s">
        <v>1343</v>
      </c>
      <c r="O2" s="127">
        <v>44186</v>
      </c>
      <c r="P2" s="127">
        <v>44187</v>
      </c>
      <c r="Q2" s="127">
        <v>44186</v>
      </c>
      <c r="R2" s="127">
        <v>44191</v>
      </c>
      <c r="S2" s="128">
        <v>52</v>
      </c>
      <c r="T2" s="128">
        <v>1</v>
      </c>
      <c r="U2" s="128">
        <v>2</v>
      </c>
      <c r="V2" s="129">
        <v>2</v>
      </c>
      <c r="W2" s="128">
        <v>0</v>
      </c>
      <c r="X2" s="130">
        <v>1</v>
      </c>
      <c r="Y2" s="130">
        <v>1</v>
      </c>
      <c r="Z2" s="130">
        <v>1</v>
      </c>
      <c r="AC2" s="129">
        <v>2</v>
      </c>
    </row>
    <row r="3" spans="1:30">
      <c r="A3" s="131" t="s">
        <v>1106</v>
      </c>
      <c r="B3" s="131" t="s">
        <v>1100</v>
      </c>
      <c r="C3" s="131" t="s">
        <v>1025</v>
      </c>
      <c r="D3" s="131" t="s">
        <v>1099</v>
      </c>
      <c r="E3" s="131" t="s">
        <v>1100</v>
      </c>
      <c r="M3" s="131" t="s">
        <v>1340</v>
      </c>
      <c r="N3" s="131" t="s">
        <v>1407</v>
      </c>
      <c r="O3" s="127">
        <v>44186</v>
      </c>
      <c r="P3" s="127">
        <v>44187</v>
      </c>
      <c r="Q3" s="127">
        <v>44186</v>
      </c>
      <c r="R3" s="127">
        <v>44191</v>
      </c>
      <c r="S3" s="128">
        <v>52</v>
      </c>
      <c r="T3" s="128">
        <v>1</v>
      </c>
      <c r="U3" s="128">
        <v>2</v>
      </c>
      <c r="V3" s="129">
        <v>2</v>
      </c>
      <c r="W3" s="128">
        <v>0</v>
      </c>
      <c r="X3" s="130">
        <v>1</v>
      </c>
      <c r="Y3" s="130">
        <v>1</v>
      </c>
      <c r="Z3" s="130">
        <v>1</v>
      </c>
      <c r="AC3" s="129">
        <v>2</v>
      </c>
    </row>
    <row r="4" spans="1:30">
      <c r="A4" s="131" t="s">
        <v>1107</v>
      </c>
      <c r="B4" s="131" t="s">
        <v>1341</v>
      </c>
      <c r="C4" s="131" t="s">
        <v>1025</v>
      </c>
      <c r="D4" s="131" t="s">
        <v>1099</v>
      </c>
      <c r="E4" s="131" t="s">
        <v>1101</v>
      </c>
      <c r="F4" s="131" t="s">
        <v>1341</v>
      </c>
      <c r="M4" s="131" t="s">
        <v>1342</v>
      </c>
      <c r="N4" s="131" t="s">
        <v>1343</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1107</v>
      </c>
      <c r="B5" s="131" t="s">
        <v>1341</v>
      </c>
      <c r="C5" s="131" t="s">
        <v>1025</v>
      </c>
      <c r="D5" s="131" t="s">
        <v>1099</v>
      </c>
      <c r="E5" s="131" t="s">
        <v>1101</v>
      </c>
      <c r="F5" s="131" t="s">
        <v>1341</v>
      </c>
      <c r="M5" s="131" t="s">
        <v>1342</v>
      </c>
      <c r="N5" s="131" t="s">
        <v>1343</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1107</v>
      </c>
      <c r="B6" s="131" t="s">
        <v>1344</v>
      </c>
      <c r="C6" s="131" t="s">
        <v>1025</v>
      </c>
      <c r="D6" s="131" t="s">
        <v>1099</v>
      </c>
      <c r="E6" s="131" t="s">
        <v>1101</v>
      </c>
      <c r="F6" s="131" t="s">
        <v>1344</v>
      </c>
      <c r="M6" s="131" t="s">
        <v>1345</v>
      </c>
      <c r="N6" s="131" t="s">
        <v>1343</v>
      </c>
      <c r="O6" s="127">
        <v>44208</v>
      </c>
      <c r="P6" s="127">
        <v>44208</v>
      </c>
      <c r="Q6" s="127">
        <v>44206</v>
      </c>
      <c r="R6" s="127">
        <v>44212</v>
      </c>
      <c r="S6" s="128">
        <v>3</v>
      </c>
      <c r="T6" s="128">
        <v>4</v>
      </c>
      <c r="U6" s="128">
        <v>0</v>
      </c>
      <c r="V6" s="129">
        <v>0</v>
      </c>
      <c r="W6" s="128">
        <v>0</v>
      </c>
      <c r="X6" s="130">
        <v>0</v>
      </c>
      <c r="Y6" s="130">
        <v>0</v>
      </c>
      <c r="Z6" s="130">
        <v>0</v>
      </c>
      <c r="AC6" s="129">
        <v>0</v>
      </c>
    </row>
    <row r="7" spans="1:30">
      <c r="A7" s="131" t="s">
        <v>1106</v>
      </c>
      <c r="B7" s="131" t="s">
        <v>1103</v>
      </c>
      <c r="C7" s="131" t="s">
        <v>1025</v>
      </c>
      <c r="D7" s="131" t="s">
        <v>1102</v>
      </c>
      <c r="E7" s="131" t="s">
        <v>1103</v>
      </c>
      <c r="M7" s="131" t="s">
        <v>1518</v>
      </c>
      <c r="N7" s="131" t="s">
        <v>1531</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1106</v>
      </c>
      <c r="B8" s="131" t="s">
        <v>1103</v>
      </c>
      <c r="C8" s="131" t="s">
        <v>1025</v>
      </c>
      <c r="D8" s="131" t="s">
        <v>1102</v>
      </c>
      <c r="E8" s="131" t="s">
        <v>1103</v>
      </c>
      <c r="M8" s="131" t="s">
        <v>1518</v>
      </c>
      <c r="N8" s="131" t="s">
        <v>1531</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1106</v>
      </c>
      <c r="B9" s="131" t="s">
        <v>1124</v>
      </c>
      <c r="C9" s="131" t="s">
        <v>1025</v>
      </c>
      <c r="D9" s="131" t="s">
        <v>1102</v>
      </c>
      <c r="E9" s="131" t="s">
        <v>1124</v>
      </c>
      <c r="M9" s="131" t="s">
        <v>1519</v>
      </c>
      <c r="N9" s="131" t="s">
        <v>1531</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1106</v>
      </c>
      <c r="B10" s="131" t="s">
        <v>1520</v>
      </c>
      <c r="C10" s="131" t="s">
        <v>1025</v>
      </c>
      <c r="D10" s="131" t="s">
        <v>1102</v>
      </c>
      <c r="E10" s="131" t="s">
        <v>1520</v>
      </c>
      <c r="M10" s="131" t="s">
        <v>1521</v>
      </c>
      <c r="N10" s="131" t="s">
        <v>1531</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1106</v>
      </c>
      <c r="B11" s="131" t="s">
        <v>1520</v>
      </c>
      <c r="C11" s="131" t="s">
        <v>1025</v>
      </c>
      <c r="D11" s="131" t="s">
        <v>1102</v>
      </c>
      <c r="E11" s="131" t="s">
        <v>1520</v>
      </c>
      <c r="M11" s="131" t="s">
        <v>1521</v>
      </c>
      <c r="N11" s="131" t="s">
        <v>1531</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1106</v>
      </c>
      <c r="B12" s="131" t="s">
        <v>1520</v>
      </c>
      <c r="C12" s="131" t="s">
        <v>1025</v>
      </c>
      <c r="D12" s="131" t="s">
        <v>1102</v>
      </c>
      <c r="E12" s="131" t="s">
        <v>1520</v>
      </c>
      <c r="M12" s="131" t="s">
        <v>1521</v>
      </c>
      <c r="N12" s="131" t="s">
        <v>1531</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1106</v>
      </c>
      <c r="B13" s="131" t="s">
        <v>1520</v>
      </c>
      <c r="C13" s="131" t="s">
        <v>1025</v>
      </c>
      <c r="D13" s="131" t="s">
        <v>1102</v>
      </c>
      <c r="E13" s="131" t="s">
        <v>1520</v>
      </c>
      <c r="M13" s="131" t="s">
        <v>1521</v>
      </c>
      <c r="N13" s="131" t="s">
        <v>1531</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1106</v>
      </c>
      <c r="B14" s="131" t="s">
        <v>1520</v>
      </c>
      <c r="C14" s="131" t="s">
        <v>1025</v>
      </c>
      <c r="D14" s="131" t="s">
        <v>1102</v>
      </c>
      <c r="E14" s="131" t="s">
        <v>1520</v>
      </c>
      <c r="M14" s="131" t="s">
        <v>1521</v>
      </c>
      <c r="N14" s="131" t="s">
        <v>1531</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1106</v>
      </c>
      <c r="B15" s="131" t="s">
        <v>1522</v>
      </c>
      <c r="C15" s="131" t="s">
        <v>1025</v>
      </c>
      <c r="D15" s="131" t="s">
        <v>1102</v>
      </c>
      <c r="E15" s="131" t="s">
        <v>1522</v>
      </c>
      <c r="M15" s="131" t="s">
        <v>1523</v>
      </c>
      <c r="N15" s="131" t="s">
        <v>1488</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1106</v>
      </c>
      <c r="B16" s="131" t="s">
        <v>1105</v>
      </c>
      <c r="C16" s="131" t="s">
        <v>1025</v>
      </c>
      <c r="D16" s="131" t="s">
        <v>1104</v>
      </c>
      <c r="E16" s="131" t="s">
        <v>1105</v>
      </c>
      <c r="M16" s="131" t="s">
        <v>1524</v>
      </c>
      <c r="N16" s="131" t="s">
        <v>1407</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1106</v>
      </c>
      <c r="B17" s="131" t="s">
        <v>1105</v>
      </c>
      <c r="C17" s="131" t="s">
        <v>1025</v>
      </c>
      <c r="D17" s="131" t="s">
        <v>1104</v>
      </c>
      <c r="E17" s="131" t="s">
        <v>1105</v>
      </c>
      <c r="M17" s="131" t="s">
        <v>1524</v>
      </c>
      <c r="N17" s="131" t="s">
        <v>1343</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1106</v>
      </c>
      <c r="B18" s="131" t="s">
        <v>1125</v>
      </c>
      <c r="C18" s="131" t="s">
        <v>1025</v>
      </c>
      <c r="D18" s="131" t="s">
        <v>1104</v>
      </c>
      <c r="E18" s="131" t="s">
        <v>1125</v>
      </c>
      <c r="M18" s="131" t="s">
        <v>1525</v>
      </c>
      <c r="N18" s="131" t="s">
        <v>741</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1106</v>
      </c>
      <c r="B19" s="131" t="s">
        <v>1125</v>
      </c>
      <c r="C19" s="131" t="s">
        <v>1025</v>
      </c>
      <c r="D19" s="131" t="s">
        <v>1104</v>
      </c>
      <c r="E19" s="131" t="s">
        <v>1125</v>
      </c>
      <c r="M19" s="131" t="s">
        <v>1525</v>
      </c>
      <c r="N19" s="131" t="s">
        <v>741</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1525</v>
      </c>
      <c r="N20" s="131" t="s">
        <v>741</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1106</v>
      </c>
      <c r="B21" s="131" t="s">
        <v>1526</v>
      </c>
      <c r="C21" s="131" t="s">
        <v>1025</v>
      </c>
      <c r="D21" s="131" t="s">
        <v>1104</v>
      </c>
      <c r="E21" s="131" t="s">
        <v>1526</v>
      </c>
      <c r="M21" s="131" t="s">
        <v>1527</v>
      </c>
      <c r="N21" s="131" t="s">
        <v>1532</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1106</v>
      </c>
      <c r="B22" s="131" t="s">
        <v>1526</v>
      </c>
      <c r="C22" s="131" t="s">
        <v>1025</v>
      </c>
      <c r="D22" s="131" t="s">
        <v>1104</v>
      </c>
      <c r="E22" s="131" t="s">
        <v>1526</v>
      </c>
      <c r="M22" s="131" t="s">
        <v>1527</v>
      </c>
      <c r="N22" s="131" t="s">
        <v>1533</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1106</v>
      </c>
      <c r="B23" s="131" t="s">
        <v>1528</v>
      </c>
      <c r="C23" s="131" t="s">
        <v>1025</v>
      </c>
      <c r="D23" s="131" t="s">
        <v>1104</v>
      </c>
      <c r="E23" s="131" t="s">
        <v>1528</v>
      </c>
      <c r="M23" s="131" t="s">
        <v>1529</v>
      </c>
      <c r="N23" s="131" t="s">
        <v>1488</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1106</v>
      </c>
      <c r="B24" s="131" t="s">
        <v>1346</v>
      </c>
      <c r="C24" s="131" t="s">
        <v>1089</v>
      </c>
      <c r="D24" s="131" t="s">
        <v>1403</v>
      </c>
      <c r="E24" s="131" t="s">
        <v>1346</v>
      </c>
      <c r="M24" s="131" t="s">
        <v>1347</v>
      </c>
      <c r="N24" s="131" t="s">
        <v>1488</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1106</v>
      </c>
      <c r="B25" s="131" t="s">
        <v>1346</v>
      </c>
      <c r="C25" s="131" t="s">
        <v>1089</v>
      </c>
      <c r="D25" s="131" t="s">
        <v>1403</v>
      </c>
      <c r="E25" s="131" t="s">
        <v>1346</v>
      </c>
      <c r="M25" s="131" t="s">
        <v>1347</v>
      </c>
      <c r="N25" s="131" t="s">
        <v>1488</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1106</v>
      </c>
      <c r="B26" s="131" t="s">
        <v>1346</v>
      </c>
      <c r="C26" s="131" t="s">
        <v>1089</v>
      </c>
      <c r="D26" s="131" t="s">
        <v>1403</v>
      </c>
      <c r="E26" s="131" t="s">
        <v>1346</v>
      </c>
      <c r="M26" s="131" t="s">
        <v>1347</v>
      </c>
      <c r="N26" s="131" t="s">
        <v>1488</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1106</v>
      </c>
      <c r="B27" s="131" t="s">
        <v>1346</v>
      </c>
      <c r="C27" s="131" t="s">
        <v>1089</v>
      </c>
      <c r="D27" s="131" t="s">
        <v>1403</v>
      </c>
      <c r="E27" s="131" t="s">
        <v>1346</v>
      </c>
      <c r="M27" s="131" t="s">
        <v>1347</v>
      </c>
      <c r="N27" s="131" t="s">
        <v>1488</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1107</v>
      </c>
      <c r="B28" s="131" t="s">
        <v>1349</v>
      </c>
      <c r="C28" s="131" t="s">
        <v>1089</v>
      </c>
      <c r="D28" s="131" t="s">
        <v>1403</v>
      </c>
      <c r="E28" s="131" t="s">
        <v>1348</v>
      </c>
      <c r="F28" s="131" t="s">
        <v>1349</v>
      </c>
      <c r="M28" s="131" t="s">
        <v>1350</v>
      </c>
      <c r="N28" s="131" t="s">
        <v>1488</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1107</v>
      </c>
      <c r="B29" s="131" t="s">
        <v>1349</v>
      </c>
      <c r="C29" s="131" t="s">
        <v>1089</v>
      </c>
      <c r="D29" s="131" t="s">
        <v>1403</v>
      </c>
      <c r="E29" s="131" t="s">
        <v>1348</v>
      </c>
      <c r="F29" s="131" t="s">
        <v>1349</v>
      </c>
      <c r="M29" s="131" t="s">
        <v>1350</v>
      </c>
      <c r="N29" s="131" t="s">
        <v>1488</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1107</v>
      </c>
      <c r="B30" s="131" t="s">
        <v>1349</v>
      </c>
      <c r="C30" s="131" t="s">
        <v>1089</v>
      </c>
      <c r="D30" s="131" t="s">
        <v>1403</v>
      </c>
      <c r="E30" s="131" t="s">
        <v>1348</v>
      </c>
      <c r="F30" s="131" t="s">
        <v>1349</v>
      </c>
      <c r="M30" s="131" t="s">
        <v>1350</v>
      </c>
      <c r="N30" s="131" t="s">
        <v>1488</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1107</v>
      </c>
      <c r="B31" s="131" t="s">
        <v>1351</v>
      </c>
      <c r="C31" s="131" t="s">
        <v>1089</v>
      </c>
      <c r="D31" s="131" t="s">
        <v>1403</v>
      </c>
      <c r="E31" s="131" t="s">
        <v>1348</v>
      </c>
      <c r="F31" s="131" t="s">
        <v>1351</v>
      </c>
      <c r="M31" s="131" t="s">
        <v>1352</v>
      </c>
      <c r="N31" s="131" t="s">
        <v>1408</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1107</v>
      </c>
      <c r="B32" s="131" t="s">
        <v>1351</v>
      </c>
      <c r="C32" s="131" t="s">
        <v>1089</v>
      </c>
      <c r="D32" s="131" t="s">
        <v>1403</v>
      </c>
      <c r="E32" s="131" t="s">
        <v>1348</v>
      </c>
      <c r="F32" s="131" t="s">
        <v>1351</v>
      </c>
      <c r="M32" s="131" t="s">
        <v>1352</v>
      </c>
      <c r="N32" s="131" t="s">
        <v>1343</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1107</v>
      </c>
      <c r="B33" s="131" t="s">
        <v>1351</v>
      </c>
      <c r="C33" s="131" t="s">
        <v>1089</v>
      </c>
      <c r="D33" s="131" t="s">
        <v>1403</v>
      </c>
      <c r="E33" s="131" t="s">
        <v>1348</v>
      </c>
      <c r="F33" s="131" t="s">
        <v>1351</v>
      </c>
      <c r="M33" s="131" t="s">
        <v>1352</v>
      </c>
      <c r="N33" s="131" t="s">
        <v>1408</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1107</v>
      </c>
      <c r="B34" s="131" t="s">
        <v>1351</v>
      </c>
      <c r="C34" s="131" t="s">
        <v>1089</v>
      </c>
      <c r="D34" s="131" t="s">
        <v>1403</v>
      </c>
      <c r="E34" s="131" t="s">
        <v>1348</v>
      </c>
      <c r="F34" s="131" t="s">
        <v>1351</v>
      </c>
      <c r="M34" s="131" t="s">
        <v>1352</v>
      </c>
      <c r="N34" s="131" t="s">
        <v>1343</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1107</v>
      </c>
      <c r="B35" s="131" t="s">
        <v>1351</v>
      </c>
      <c r="C35" s="131" t="s">
        <v>1089</v>
      </c>
      <c r="D35" s="131" t="s">
        <v>1403</v>
      </c>
      <c r="E35" s="131" t="s">
        <v>1348</v>
      </c>
      <c r="F35" s="131" t="s">
        <v>1351</v>
      </c>
      <c r="M35" s="131" t="s">
        <v>1352</v>
      </c>
      <c r="N35" s="131" t="s">
        <v>1408</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1107</v>
      </c>
      <c r="B36" s="131" t="s">
        <v>1351</v>
      </c>
      <c r="C36" s="131" t="s">
        <v>1089</v>
      </c>
      <c r="D36" s="131" t="s">
        <v>1403</v>
      </c>
      <c r="E36" s="131" t="s">
        <v>1348</v>
      </c>
      <c r="F36" s="131" t="s">
        <v>1351</v>
      </c>
      <c r="M36" s="131" t="s">
        <v>1352</v>
      </c>
      <c r="N36" s="131" t="s">
        <v>1343</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1106</v>
      </c>
      <c r="B37" s="131" t="s">
        <v>1353</v>
      </c>
      <c r="C37" s="131" t="s">
        <v>1089</v>
      </c>
      <c r="D37" s="131" t="s">
        <v>1404</v>
      </c>
      <c r="E37" s="131" t="s">
        <v>1353</v>
      </c>
      <c r="M37" s="131" t="s">
        <v>1354</v>
      </c>
      <c r="N37" s="131" t="s">
        <v>1488</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1106</v>
      </c>
      <c r="B38" s="131" t="s">
        <v>1353</v>
      </c>
      <c r="C38" s="131" t="s">
        <v>1089</v>
      </c>
      <c r="D38" s="131" t="s">
        <v>1404</v>
      </c>
      <c r="E38" s="131" t="s">
        <v>1353</v>
      </c>
      <c r="M38" s="131" t="s">
        <v>1354</v>
      </c>
      <c r="N38" s="131" t="s">
        <v>1488</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1106</v>
      </c>
      <c r="B39" s="131" t="s">
        <v>1353</v>
      </c>
      <c r="C39" s="131" t="s">
        <v>1089</v>
      </c>
      <c r="D39" s="131" t="s">
        <v>1404</v>
      </c>
      <c r="E39" s="131" t="s">
        <v>1353</v>
      </c>
      <c r="M39" s="131" t="s">
        <v>1354</v>
      </c>
      <c r="N39" s="131" t="s">
        <v>1488</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1106</v>
      </c>
      <c r="B40" s="131" t="s">
        <v>1353</v>
      </c>
      <c r="C40" s="131" t="s">
        <v>1089</v>
      </c>
      <c r="D40" s="131" t="s">
        <v>1404</v>
      </c>
      <c r="E40" s="131" t="s">
        <v>1353</v>
      </c>
      <c r="M40" s="131" t="s">
        <v>1354</v>
      </c>
      <c r="N40" s="131" t="s">
        <v>1488</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1107</v>
      </c>
      <c r="B41" s="131" t="s">
        <v>1356</v>
      </c>
      <c r="C41" s="131" t="s">
        <v>1089</v>
      </c>
      <c r="D41" s="131" t="s">
        <v>1404</v>
      </c>
      <c r="E41" s="131" t="s">
        <v>1355</v>
      </c>
      <c r="F41" s="131" t="s">
        <v>1356</v>
      </c>
      <c r="M41" s="131" t="s">
        <v>1357</v>
      </c>
      <c r="N41" s="131" t="s">
        <v>1488</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1107</v>
      </c>
      <c r="B42" s="131" t="s">
        <v>1356</v>
      </c>
      <c r="C42" s="131" t="s">
        <v>1089</v>
      </c>
      <c r="D42" s="131" t="s">
        <v>1404</v>
      </c>
      <c r="E42" s="131" t="s">
        <v>1355</v>
      </c>
      <c r="F42" s="131" t="s">
        <v>1356</v>
      </c>
      <c r="M42" s="131" t="s">
        <v>1357</v>
      </c>
      <c r="N42" s="131" t="s">
        <v>1488</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1107</v>
      </c>
      <c r="B43" s="131" t="s">
        <v>1356</v>
      </c>
      <c r="C43" s="131" t="s">
        <v>1089</v>
      </c>
      <c r="D43" s="131" t="s">
        <v>1404</v>
      </c>
      <c r="E43" s="131" t="s">
        <v>1355</v>
      </c>
      <c r="F43" s="131" t="s">
        <v>1356</v>
      </c>
      <c r="M43" s="131" t="s">
        <v>1357</v>
      </c>
      <c r="N43" s="131" t="s">
        <v>1488</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1107</v>
      </c>
      <c r="B44" s="131" t="s">
        <v>1358</v>
      </c>
      <c r="C44" s="131" t="s">
        <v>1089</v>
      </c>
      <c r="D44" s="131" t="s">
        <v>1404</v>
      </c>
      <c r="E44" s="131" t="s">
        <v>1355</v>
      </c>
      <c r="F44" s="131" t="s">
        <v>1358</v>
      </c>
      <c r="M44" s="131" t="s">
        <v>1359</v>
      </c>
      <c r="N44" s="131" t="s">
        <v>1488</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1107</v>
      </c>
      <c r="B45" s="131" t="s">
        <v>1358</v>
      </c>
      <c r="C45" s="131" t="s">
        <v>1089</v>
      </c>
      <c r="D45" s="131" t="s">
        <v>1404</v>
      </c>
      <c r="E45" s="131" t="s">
        <v>1355</v>
      </c>
      <c r="F45" s="131" t="s">
        <v>1358</v>
      </c>
      <c r="M45" s="131" t="s">
        <v>1359</v>
      </c>
      <c r="N45" s="131" t="s">
        <v>1488</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1107</v>
      </c>
      <c r="B46" s="131" t="s">
        <v>1358</v>
      </c>
      <c r="C46" s="131" t="s">
        <v>1089</v>
      </c>
      <c r="D46" s="131" t="s">
        <v>1404</v>
      </c>
      <c r="E46" s="131" t="s">
        <v>1355</v>
      </c>
      <c r="F46" s="131" t="s">
        <v>1358</v>
      </c>
      <c r="M46" s="131" t="s">
        <v>1359</v>
      </c>
      <c r="N46" s="131" t="s">
        <v>1488</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1107</v>
      </c>
      <c r="B47" s="131" t="s">
        <v>1360</v>
      </c>
      <c r="C47" s="131" t="s">
        <v>1089</v>
      </c>
      <c r="D47" s="131" t="s">
        <v>1404</v>
      </c>
      <c r="E47" s="131" t="s">
        <v>1355</v>
      </c>
      <c r="F47" s="131" t="s">
        <v>1360</v>
      </c>
      <c r="M47" s="131" t="s">
        <v>1361</v>
      </c>
      <c r="N47" s="131" t="s">
        <v>1488</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1107</v>
      </c>
      <c r="B48" s="131" t="s">
        <v>1360</v>
      </c>
      <c r="C48" s="131" t="s">
        <v>1089</v>
      </c>
      <c r="D48" s="131" t="s">
        <v>1404</v>
      </c>
      <c r="E48" s="131" t="s">
        <v>1355</v>
      </c>
      <c r="F48" s="131" t="s">
        <v>1360</v>
      </c>
      <c r="M48" s="131" t="s">
        <v>1361</v>
      </c>
      <c r="N48" s="131" t="s">
        <v>1488</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1107</v>
      </c>
      <c r="B49" s="131" t="s">
        <v>1360</v>
      </c>
      <c r="C49" s="131" t="s">
        <v>1089</v>
      </c>
      <c r="D49" s="131" t="s">
        <v>1404</v>
      </c>
      <c r="E49" s="131" t="s">
        <v>1355</v>
      </c>
      <c r="F49" s="131" t="s">
        <v>1360</v>
      </c>
      <c r="M49" s="131" t="s">
        <v>1361</v>
      </c>
      <c r="N49" s="131" t="s">
        <v>1488</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1107</v>
      </c>
      <c r="B50" s="131" t="s">
        <v>1360</v>
      </c>
      <c r="C50" s="131" t="s">
        <v>1089</v>
      </c>
      <c r="D50" s="131" t="s">
        <v>1404</v>
      </c>
      <c r="E50" s="131" t="s">
        <v>1355</v>
      </c>
      <c r="F50" s="131" t="s">
        <v>1360</v>
      </c>
      <c r="M50" s="131" t="s">
        <v>1361</v>
      </c>
      <c r="N50" s="131" t="s">
        <v>1488</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1106</v>
      </c>
      <c r="B51" s="131" t="s">
        <v>1362</v>
      </c>
      <c r="C51" s="131" t="s">
        <v>1089</v>
      </c>
      <c r="D51" s="131" t="s">
        <v>1404</v>
      </c>
      <c r="E51" s="131" t="s">
        <v>1362</v>
      </c>
      <c r="M51" s="131" t="s">
        <v>1363</v>
      </c>
      <c r="N51" s="131" t="s">
        <v>1488</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1106</v>
      </c>
      <c r="B52" s="131" t="s">
        <v>1362</v>
      </c>
      <c r="C52" s="131" t="s">
        <v>1089</v>
      </c>
      <c r="D52" s="131" t="s">
        <v>1404</v>
      </c>
      <c r="E52" s="131" t="s">
        <v>1362</v>
      </c>
      <c r="M52" s="131" t="s">
        <v>1363</v>
      </c>
      <c r="N52" s="131" t="s">
        <v>1488</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1107</v>
      </c>
      <c r="B53" s="131" t="s">
        <v>1365</v>
      </c>
      <c r="C53" s="131" t="s">
        <v>1089</v>
      </c>
      <c r="D53" s="131" t="s">
        <v>1405</v>
      </c>
      <c r="E53" s="131" t="s">
        <v>1364</v>
      </c>
      <c r="F53" s="131" t="s">
        <v>1365</v>
      </c>
      <c r="M53" s="131" t="s">
        <v>1366</v>
      </c>
      <c r="N53" s="131" t="s">
        <v>1488</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1107</v>
      </c>
      <c r="B54" s="131" t="s">
        <v>1365</v>
      </c>
      <c r="C54" s="131" t="s">
        <v>1089</v>
      </c>
      <c r="D54" s="131" t="s">
        <v>1405</v>
      </c>
      <c r="E54" s="131" t="s">
        <v>1364</v>
      </c>
      <c r="F54" s="131" t="s">
        <v>1365</v>
      </c>
      <c r="M54" s="131" t="s">
        <v>1366</v>
      </c>
      <c r="N54" s="131" t="s">
        <v>1488</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1109</v>
      </c>
      <c r="B55" s="131" t="s">
        <v>1369</v>
      </c>
      <c r="C55" s="131" t="s">
        <v>1089</v>
      </c>
      <c r="D55" s="131" t="s">
        <v>1405</v>
      </c>
      <c r="E55" s="131" t="s">
        <v>1364</v>
      </c>
      <c r="F55" s="131" t="s">
        <v>1367</v>
      </c>
      <c r="G55" s="131" t="s">
        <v>1368</v>
      </c>
      <c r="H55" s="131" t="s">
        <v>1369</v>
      </c>
      <c r="M55" s="131" t="s">
        <v>1370</v>
      </c>
      <c r="N55" s="131" t="s">
        <v>1488</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1109</v>
      </c>
      <c r="B56" s="131" t="s">
        <v>1369</v>
      </c>
      <c r="C56" s="131" t="s">
        <v>1089</v>
      </c>
      <c r="D56" s="131" t="s">
        <v>1405</v>
      </c>
      <c r="E56" s="131" t="s">
        <v>1364</v>
      </c>
      <c r="F56" s="131" t="s">
        <v>1367</v>
      </c>
      <c r="G56" s="131" t="s">
        <v>1368</v>
      </c>
      <c r="H56" s="131" t="s">
        <v>1369</v>
      </c>
      <c r="M56" s="131" t="s">
        <v>1370</v>
      </c>
      <c r="N56" s="131" t="s">
        <v>1488</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1109</v>
      </c>
      <c r="B57" s="131" t="s">
        <v>1371</v>
      </c>
      <c r="C57" s="131" t="s">
        <v>1089</v>
      </c>
      <c r="D57" s="131" t="s">
        <v>1405</v>
      </c>
      <c r="E57" s="131" t="s">
        <v>1364</v>
      </c>
      <c r="F57" s="131" t="s">
        <v>1367</v>
      </c>
      <c r="G57" s="131" t="s">
        <v>1368</v>
      </c>
      <c r="H57" s="131" t="s">
        <v>1371</v>
      </c>
      <c r="M57" s="131" t="s">
        <v>1372</v>
      </c>
      <c r="N57" s="131" t="s">
        <v>1488</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1109</v>
      </c>
      <c r="B58" s="131" t="s">
        <v>1371</v>
      </c>
      <c r="C58" s="131" t="s">
        <v>1089</v>
      </c>
      <c r="D58" s="131" t="s">
        <v>1405</v>
      </c>
      <c r="E58" s="131" t="s">
        <v>1364</v>
      </c>
      <c r="F58" s="131" t="s">
        <v>1367</v>
      </c>
      <c r="G58" s="131" t="s">
        <v>1368</v>
      </c>
      <c r="H58" s="131" t="s">
        <v>1371</v>
      </c>
      <c r="M58" s="131" t="s">
        <v>1372</v>
      </c>
      <c r="N58" s="131" t="s">
        <v>1488</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1109</v>
      </c>
      <c r="B59" s="131" t="s">
        <v>1373</v>
      </c>
      <c r="C59" s="131" t="s">
        <v>1089</v>
      </c>
      <c r="D59" s="131" t="s">
        <v>1405</v>
      </c>
      <c r="E59" s="131" t="s">
        <v>1364</v>
      </c>
      <c r="F59" s="131" t="s">
        <v>1367</v>
      </c>
      <c r="G59" s="131" t="s">
        <v>1368</v>
      </c>
      <c r="H59" s="131" t="s">
        <v>1373</v>
      </c>
      <c r="M59" s="131" t="s">
        <v>1374</v>
      </c>
      <c r="N59" s="131" t="s">
        <v>1488</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1109</v>
      </c>
      <c r="B60" s="131" t="s">
        <v>1373</v>
      </c>
      <c r="C60" s="131" t="s">
        <v>1089</v>
      </c>
      <c r="D60" s="131" t="s">
        <v>1405</v>
      </c>
      <c r="E60" s="131" t="s">
        <v>1364</v>
      </c>
      <c r="F60" s="131" t="s">
        <v>1367</v>
      </c>
      <c r="G60" s="131" t="s">
        <v>1368</v>
      </c>
      <c r="H60" s="131" t="s">
        <v>1373</v>
      </c>
      <c r="M60" s="131" t="s">
        <v>1374</v>
      </c>
      <c r="N60" s="131" t="s">
        <v>1488</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1109</v>
      </c>
      <c r="B61" s="131" t="s">
        <v>1373</v>
      </c>
      <c r="C61" s="131" t="s">
        <v>1089</v>
      </c>
      <c r="D61" s="131" t="s">
        <v>1405</v>
      </c>
      <c r="E61" s="131" t="s">
        <v>1364</v>
      </c>
      <c r="F61" s="131" t="s">
        <v>1367</v>
      </c>
      <c r="G61" s="131" t="s">
        <v>1368</v>
      </c>
      <c r="H61" s="131" t="s">
        <v>1373</v>
      </c>
      <c r="M61" s="131" t="s">
        <v>1374</v>
      </c>
      <c r="N61" s="131" t="s">
        <v>1488</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1108</v>
      </c>
      <c r="B62" s="131" t="s">
        <v>1375</v>
      </c>
      <c r="C62" s="131" t="s">
        <v>1089</v>
      </c>
      <c r="D62" s="131" t="s">
        <v>1405</v>
      </c>
      <c r="E62" s="131" t="s">
        <v>1364</v>
      </c>
      <c r="F62" s="131" t="s">
        <v>1367</v>
      </c>
      <c r="G62" s="131" t="s">
        <v>1375</v>
      </c>
      <c r="M62" s="131" t="s">
        <v>1376</v>
      </c>
      <c r="N62" s="131" t="s">
        <v>1488</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1108</v>
      </c>
      <c r="B63" s="131" t="s">
        <v>1375</v>
      </c>
      <c r="C63" s="131" t="s">
        <v>1089</v>
      </c>
      <c r="D63" s="131" t="s">
        <v>1405</v>
      </c>
      <c r="E63" s="131" t="s">
        <v>1364</v>
      </c>
      <c r="F63" s="131" t="s">
        <v>1367</v>
      </c>
      <c r="G63" s="131" t="s">
        <v>1375</v>
      </c>
      <c r="M63" s="131" t="s">
        <v>1376</v>
      </c>
      <c r="N63" s="131" t="s">
        <v>1488</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1108</v>
      </c>
      <c r="B64" s="131" t="s">
        <v>1375</v>
      </c>
      <c r="C64" s="131" t="s">
        <v>1089</v>
      </c>
      <c r="D64" s="131" t="s">
        <v>1405</v>
      </c>
      <c r="E64" s="131" t="s">
        <v>1364</v>
      </c>
      <c r="F64" s="131" t="s">
        <v>1367</v>
      </c>
      <c r="G64" s="131" t="s">
        <v>1375</v>
      </c>
      <c r="M64" s="131" t="s">
        <v>1376</v>
      </c>
      <c r="N64" s="131" t="s">
        <v>1488</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1108</v>
      </c>
      <c r="B65" s="131" t="s">
        <v>1375</v>
      </c>
      <c r="C65" s="131" t="s">
        <v>1089</v>
      </c>
      <c r="D65" s="131" t="s">
        <v>1405</v>
      </c>
      <c r="E65" s="131" t="s">
        <v>1364</v>
      </c>
      <c r="F65" s="131" t="s">
        <v>1367</v>
      </c>
      <c r="G65" s="131" t="s">
        <v>1375</v>
      </c>
      <c r="M65" s="131" t="s">
        <v>1376</v>
      </c>
      <c r="N65" s="131" t="s">
        <v>1488</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1108</v>
      </c>
      <c r="B66" s="131" t="s">
        <v>1375</v>
      </c>
      <c r="C66" s="131" t="s">
        <v>1089</v>
      </c>
      <c r="D66" s="131" t="s">
        <v>1405</v>
      </c>
      <c r="E66" s="131" t="s">
        <v>1364</v>
      </c>
      <c r="F66" s="131" t="s">
        <v>1367</v>
      </c>
      <c r="G66" s="131" t="s">
        <v>1375</v>
      </c>
      <c r="M66" s="131" t="s">
        <v>1376</v>
      </c>
      <c r="N66" s="131" t="s">
        <v>1488</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1108</v>
      </c>
      <c r="B67" s="131" t="s">
        <v>1375</v>
      </c>
      <c r="C67" s="131" t="s">
        <v>1089</v>
      </c>
      <c r="D67" s="131" t="s">
        <v>1405</v>
      </c>
      <c r="E67" s="131" t="s">
        <v>1364</v>
      </c>
      <c r="F67" s="131" t="s">
        <v>1367</v>
      </c>
      <c r="G67" s="131" t="s">
        <v>1375</v>
      </c>
      <c r="M67" s="131" t="s">
        <v>1376</v>
      </c>
      <c r="N67" s="131" t="s">
        <v>1488</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1108</v>
      </c>
      <c r="B68" s="131" t="s">
        <v>1375</v>
      </c>
      <c r="C68" s="131" t="s">
        <v>1089</v>
      </c>
      <c r="D68" s="131" t="s">
        <v>1405</v>
      </c>
      <c r="E68" s="131" t="s">
        <v>1364</v>
      </c>
      <c r="F68" s="131" t="s">
        <v>1367</v>
      </c>
      <c r="G68" s="131" t="s">
        <v>1375</v>
      </c>
      <c r="M68" s="131" t="s">
        <v>1376</v>
      </c>
      <c r="N68" s="131" t="s">
        <v>1488</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1108</v>
      </c>
      <c r="B69" s="131" t="s">
        <v>1375</v>
      </c>
      <c r="C69" s="131" t="s">
        <v>1089</v>
      </c>
      <c r="D69" s="131" t="s">
        <v>1405</v>
      </c>
      <c r="E69" s="131" t="s">
        <v>1364</v>
      </c>
      <c r="F69" s="131" t="s">
        <v>1367</v>
      </c>
      <c r="G69" s="131" t="s">
        <v>1375</v>
      </c>
      <c r="M69" s="131" t="s">
        <v>1376</v>
      </c>
      <c r="N69" s="131" t="s">
        <v>1488</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1108</v>
      </c>
      <c r="B70" s="131" t="s">
        <v>1375</v>
      </c>
      <c r="C70" s="131" t="s">
        <v>1089</v>
      </c>
      <c r="D70" s="131" t="s">
        <v>1405</v>
      </c>
      <c r="E70" s="131" t="s">
        <v>1364</v>
      </c>
      <c r="F70" s="131" t="s">
        <v>1367</v>
      </c>
      <c r="G70" s="131" t="s">
        <v>1375</v>
      </c>
      <c r="M70" s="131" t="s">
        <v>1376</v>
      </c>
      <c r="N70" s="131" t="s">
        <v>1488</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1108</v>
      </c>
      <c r="B71" s="131" t="s">
        <v>1375</v>
      </c>
      <c r="C71" s="131" t="s">
        <v>1089</v>
      </c>
      <c r="D71" s="131" t="s">
        <v>1405</v>
      </c>
      <c r="E71" s="131" t="s">
        <v>1364</v>
      </c>
      <c r="F71" s="131" t="s">
        <v>1367</v>
      </c>
      <c r="G71" s="131" t="s">
        <v>1375</v>
      </c>
      <c r="M71" s="131" t="s">
        <v>1376</v>
      </c>
      <c r="N71" s="131" t="s">
        <v>1488</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1108</v>
      </c>
      <c r="B72" s="131" t="s">
        <v>1377</v>
      </c>
      <c r="C72" s="131" t="s">
        <v>1089</v>
      </c>
      <c r="D72" s="131" t="s">
        <v>1405</v>
      </c>
      <c r="E72" s="131" t="s">
        <v>1364</v>
      </c>
      <c r="F72" s="131" t="s">
        <v>1367</v>
      </c>
      <c r="G72" s="131" t="s">
        <v>1377</v>
      </c>
      <c r="M72" s="131" t="s">
        <v>1378</v>
      </c>
      <c r="N72" s="131" t="s">
        <v>1488</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1108</v>
      </c>
      <c r="B73" s="131" t="s">
        <v>1377</v>
      </c>
      <c r="C73" s="131" t="s">
        <v>1089</v>
      </c>
      <c r="D73" s="131" t="s">
        <v>1405</v>
      </c>
      <c r="E73" s="131" t="s">
        <v>1364</v>
      </c>
      <c r="F73" s="131" t="s">
        <v>1367</v>
      </c>
      <c r="G73" s="131" t="s">
        <v>1377</v>
      </c>
      <c r="M73" s="131" t="s">
        <v>1378</v>
      </c>
      <c r="N73" s="131" t="s">
        <v>1488</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1108</v>
      </c>
      <c r="B74" s="131" t="s">
        <v>1377</v>
      </c>
      <c r="C74" s="131" t="s">
        <v>1089</v>
      </c>
      <c r="D74" s="131" t="s">
        <v>1405</v>
      </c>
      <c r="E74" s="131" t="s">
        <v>1364</v>
      </c>
      <c r="F74" s="131" t="s">
        <v>1367</v>
      </c>
      <c r="G74" s="131" t="s">
        <v>1377</v>
      </c>
      <c r="M74" s="131" t="s">
        <v>1378</v>
      </c>
      <c r="N74" s="131" t="s">
        <v>1488</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1108</v>
      </c>
      <c r="B75" s="131" t="s">
        <v>1377</v>
      </c>
      <c r="C75" s="131" t="s">
        <v>1089</v>
      </c>
      <c r="D75" s="131" t="s">
        <v>1405</v>
      </c>
      <c r="E75" s="131" t="s">
        <v>1364</v>
      </c>
      <c r="F75" s="131" t="s">
        <v>1367</v>
      </c>
      <c r="G75" s="131" t="s">
        <v>1377</v>
      </c>
      <c r="M75" s="131" t="s">
        <v>1378</v>
      </c>
      <c r="N75" s="131" t="s">
        <v>1488</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1108</v>
      </c>
      <c r="B76" s="131" t="s">
        <v>1377</v>
      </c>
      <c r="C76" s="131" t="s">
        <v>1089</v>
      </c>
      <c r="D76" s="131" t="s">
        <v>1405</v>
      </c>
      <c r="E76" s="131" t="s">
        <v>1364</v>
      </c>
      <c r="F76" s="131" t="s">
        <v>1367</v>
      </c>
      <c r="G76" s="131" t="s">
        <v>1377</v>
      </c>
      <c r="M76" s="131" t="s">
        <v>1378</v>
      </c>
      <c r="N76" s="131" t="s">
        <v>1488</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1108</v>
      </c>
      <c r="B77" s="131" t="s">
        <v>1377</v>
      </c>
      <c r="C77" s="131" t="s">
        <v>1089</v>
      </c>
      <c r="D77" s="131" t="s">
        <v>1405</v>
      </c>
      <c r="E77" s="131" t="s">
        <v>1364</v>
      </c>
      <c r="F77" s="131" t="s">
        <v>1367</v>
      </c>
      <c r="G77" s="131" t="s">
        <v>1377</v>
      </c>
      <c r="M77" s="131" t="s">
        <v>1378</v>
      </c>
      <c r="N77" s="131" t="s">
        <v>1488</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1108</v>
      </c>
      <c r="B78" s="131" t="s">
        <v>1377</v>
      </c>
      <c r="C78" s="131" t="s">
        <v>1089</v>
      </c>
      <c r="D78" s="131" t="s">
        <v>1405</v>
      </c>
      <c r="E78" s="131" t="s">
        <v>1364</v>
      </c>
      <c r="F78" s="131" t="s">
        <v>1367</v>
      </c>
      <c r="G78" s="131" t="s">
        <v>1377</v>
      </c>
      <c r="M78" s="131" t="s">
        <v>1378</v>
      </c>
      <c r="N78" s="131" t="s">
        <v>1488</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1108</v>
      </c>
      <c r="B79" s="131" t="s">
        <v>1377</v>
      </c>
      <c r="C79" s="131" t="s">
        <v>1089</v>
      </c>
      <c r="D79" s="131" t="s">
        <v>1405</v>
      </c>
      <c r="E79" s="131" t="s">
        <v>1364</v>
      </c>
      <c r="F79" s="131" t="s">
        <v>1367</v>
      </c>
      <c r="G79" s="131" t="s">
        <v>1377</v>
      </c>
      <c r="M79" s="131" t="s">
        <v>1378</v>
      </c>
      <c r="N79" s="131" t="s">
        <v>1488</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1108</v>
      </c>
      <c r="B80" s="131" t="s">
        <v>1377</v>
      </c>
      <c r="C80" s="131" t="s">
        <v>1089</v>
      </c>
      <c r="D80" s="131" t="s">
        <v>1405</v>
      </c>
      <c r="E80" s="131" t="s">
        <v>1364</v>
      </c>
      <c r="F80" s="131" t="s">
        <v>1367</v>
      </c>
      <c r="G80" s="131" t="s">
        <v>1377</v>
      </c>
      <c r="M80" s="131" t="s">
        <v>1378</v>
      </c>
      <c r="N80" s="131" t="s">
        <v>1488</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1108</v>
      </c>
      <c r="B81" s="131" t="s">
        <v>1377</v>
      </c>
      <c r="C81" s="131" t="s">
        <v>1089</v>
      </c>
      <c r="D81" s="131" t="s">
        <v>1405</v>
      </c>
      <c r="E81" s="131" t="s">
        <v>1364</v>
      </c>
      <c r="F81" s="131" t="s">
        <v>1367</v>
      </c>
      <c r="G81" s="131" t="s">
        <v>1377</v>
      </c>
      <c r="M81" s="131" t="s">
        <v>1378</v>
      </c>
      <c r="N81" s="131" t="s">
        <v>1488</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1108</v>
      </c>
      <c r="B82" s="131" t="s">
        <v>1379</v>
      </c>
      <c r="C82" s="131" t="s">
        <v>1089</v>
      </c>
      <c r="D82" s="131" t="s">
        <v>1405</v>
      </c>
      <c r="E82" s="131" t="s">
        <v>1364</v>
      </c>
      <c r="F82" s="131" t="s">
        <v>1367</v>
      </c>
      <c r="G82" s="131" t="s">
        <v>1379</v>
      </c>
      <c r="M82" s="131" t="s">
        <v>1380</v>
      </c>
      <c r="N82" s="131" t="s">
        <v>1488</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1108</v>
      </c>
      <c r="B83" s="131" t="s">
        <v>1379</v>
      </c>
      <c r="C83" s="131" t="s">
        <v>1089</v>
      </c>
      <c r="D83" s="131" t="s">
        <v>1405</v>
      </c>
      <c r="E83" s="131" t="s">
        <v>1364</v>
      </c>
      <c r="F83" s="131" t="s">
        <v>1367</v>
      </c>
      <c r="G83" s="131" t="s">
        <v>1379</v>
      </c>
      <c r="M83" s="131" t="s">
        <v>1380</v>
      </c>
      <c r="N83" s="131" t="s">
        <v>1488</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1108</v>
      </c>
      <c r="B84" s="131" t="s">
        <v>1379</v>
      </c>
      <c r="C84" s="131" t="s">
        <v>1089</v>
      </c>
      <c r="D84" s="131" t="s">
        <v>1405</v>
      </c>
      <c r="E84" s="131" t="s">
        <v>1364</v>
      </c>
      <c r="F84" s="131" t="s">
        <v>1367</v>
      </c>
      <c r="G84" s="131" t="s">
        <v>1379</v>
      </c>
      <c r="M84" s="131" t="s">
        <v>1380</v>
      </c>
      <c r="N84" s="131" t="s">
        <v>1488</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1108</v>
      </c>
      <c r="B85" s="131" t="s">
        <v>1379</v>
      </c>
      <c r="C85" s="131" t="s">
        <v>1089</v>
      </c>
      <c r="D85" s="131" t="s">
        <v>1405</v>
      </c>
      <c r="E85" s="131" t="s">
        <v>1364</v>
      </c>
      <c r="F85" s="131" t="s">
        <v>1367</v>
      </c>
      <c r="G85" s="131" t="s">
        <v>1379</v>
      </c>
      <c r="M85" s="131" t="s">
        <v>1380</v>
      </c>
      <c r="N85" s="131" t="s">
        <v>1488</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1108</v>
      </c>
      <c r="B86" s="131" t="s">
        <v>1379</v>
      </c>
      <c r="C86" s="131" t="s">
        <v>1089</v>
      </c>
      <c r="D86" s="131" t="s">
        <v>1405</v>
      </c>
      <c r="E86" s="131" t="s">
        <v>1364</v>
      </c>
      <c r="F86" s="131" t="s">
        <v>1367</v>
      </c>
      <c r="G86" s="131" t="s">
        <v>1379</v>
      </c>
      <c r="M86" s="131" t="s">
        <v>1380</v>
      </c>
      <c r="N86" s="131" t="s">
        <v>1488</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1108</v>
      </c>
      <c r="B87" s="131" t="s">
        <v>1379</v>
      </c>
      <c r="C87" s="131" t="s">
        <v>1089</v>
      </c>
      <c r="D87" s="131" t="s">
        <v>1405</v>
      </c>
      <c r="E87" s="131" t="s">
        <v>1364</v>
      </c>
      <c r="F87" s="131" t="s">
        <v>1367</v>
      </c>
      <c r="G87" s="131" t="s">
        <v>1379</v>
      </c>
      <c r="M87" s="131" t="s">
        <v>1380</v>
      </c>
      <c r="N87" s="131" t="s">
        <v>1488</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1108</v>
      </c>
      <c r="B88" s="131" t="s">
        <v>1379</v>
      </c>
      <c r="C88" s="131" t="s">
        <v>1089</v>
      </c>
      <c r="D88" s="131" t="s">
        <v>1405</v>
      </c>
      <c r="E88" s="131" t="s">
        <v>1364</v>
      </c>
      <c r="F88" s="131" t="s">
        <v>1367</v>
      </c>
      <c r="G88" s="131" t="s">
        <v>1379</v>
      </c>
      <c r="M88" s="131" t="s">
        <v>1380</v>
      </c>
      <c r="N88" s="131" t="s">
        <v>1488</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1108</v>
      </c>
      <c r="B89" s="131" t="s">
        <v>1379</v>
      </c>
      <c r="C89" s="131" t="s">
        <v>1089</v>
      </c>
      <c r="D89" s="131" t="s">
        <v>1405</v>
      </c>
      <c r="E89" s="131" t="s">
        <v>1364</v>
      </c>
      <c r="F89" s="131" t="s">
        <v>1367</v>
      </c>
      <c r="G89" s="131" t="s">
        <v>1379</v>
      </c>
      <c r="M89" s="131" t="s">
        <v>1380</v>
      </c>
      <c r="N89" s="131" t="s">
        <v>1488</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1107</v>
      </c>
      <c r="B90" s="131" t="s">
        <v>1382</v>
      </c>
      <c r="C90" s="131" t="s">
        <v>1089</v>
      </c>
      <c r="D90" s="131" t="s">
        <v>1405</v>
      </c>
      <c r="E90" s="131" t="s">
        <v>1381</v>
      </c>
      <c r="F90" s="131" t="s">
        <v>1382</v>
      </c>
      <c r="M90" s="131" t="s">
        <v>1383</v>
      </c>
      <c r="N90" s="131" t="s">
        <v>1488</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1107</v>
      </c>
      <c r="B91" s="131" t="s">
        <v>1382</v>
      </c>
      <c r="C91" s="131" t="s">
        <v>1089</v>
      </c>
      <c r="D91" s="131" t="s">
        <v>1405</v>
      </c>
      <c r="E91" s="131" t="s">
        <v>1381</v>
      </c>
      <c r="F91" s="131" t="s">
        <v>1382</v>
      </c>
      <c r="M91" s="131" t="s">
        <v>1383</v>
      </c>
      <c r="N91" s="131" t="s">
        <v>1488</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1107</v>
      </c>
      <c r="B92" s="131" t="s">
        <v>1382</v>
      </c>
      <c r="C92" s="131" t="s">
        <v>1089</v>
      </c>
      <c r="D92" s="131" t="s">
        <v>1405</v>
      </c>
      <c r="E92" s="131" t="s">
        <v>1381</v>
      </c>
      <c r="F92" s="131" t="s">
        <v>1382</v>
      </c>
      <c r="M92" s="131" t="s">
        <v>1383</v>
      </c>
      <c r="N92" s="131" t="s">
        <v>1488</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1107</v>
      </c>
      <c r="B93" s="131" t="s">
        <v>1382</v>
      </c>
      <c r="C93" s="131" t="s">
        <v>1089</v>
      </c>
      <c r="D93" s="131" t="s">
        <v>1405</v>
      </c>
      <c r="E93" s="131" t="s">
        <v>1381</v>
      </c>
      <c r="F93" s="131" t="s">
        <v>1382</v>
      </c>
      <c r="M93" s="131" t="s">
        <v>1383</v>
      </c>
      <c r="N93" s="131" t="s">
        <v>1488</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1107</v>
      </c>
      <c r="B94" s="131" t="s">
        <v>1384</v>
      </c>
      <c r="C94" s="131" t="s">
        <v>1089</v>
      </c>
      <c r="D94" s="131" t="s">
        <v>1405</v>
      </c>
      <c r="E94" s="131" t="s">
        <v>1381</v>
      </c>
      <c r="F94" s="131" t="s">
        <v>1384</v>
      </c>
      <c r="M94" s="131" t="s">
        <v>1385</v>
      </c>
      <c r="N94" s="131" t="s">
        <v>1488</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1107</v>
      </c>
      <c r="B95" s="131" t="s">
        <v>1384</v>
      </c>
      <c r="C95" s="131" t="s">
        <v>1089</v>
      </c>
      <c r="D95" s="131" t="s">
        <v>1405</v>
      </c>
      <c r="E95" s="131" t="s">
        <v>1381</v>
      </c>
      <c r="F95" s="131" t="s">
        <v>1384</v>
      </c>
      <c r="M95" s="131" t="s">
        <v>1385</v>
      </c>
      <c r="N95" s="131" t="s">
        <v>1488</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1107</v>
      </c>
      <c r="B96" s="131" t="s">
        <v>1387</v>
      </c>
      <c r="C96" s="131" t="s">
        <v>1089</v>
      </c>
      <c r="D96" s="131" t="s">
        <v>1406</v>
      </c>
      <c r="E96" s="131" t="s">
        <v>1386</v>
      </c>
      <c r="F96" s="131" t="s">
        <v>1387</v>
      </c>
      <c r="M96" s="131" t="s">
        <v>1388</v>
      </c>
      <c r="N96" s="131" t="s">
        <v>1488</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1107</v>
      </c>
      <c r="B97" s="131" t="s">
        <v>1390</v>
      </c>
      <c r="C97" s="131" t="s">
        <v>1089</v>
      </c>
      <c r="D97" s="131" t="s">
        <v>1406</v>
      </c>
      <c r="E97" s="131" t="s">
        <v>1389</v>
      </c>
      <c r="F97" s="131" t="s">
        <v>1390</v>
      </c>
      <c r="M97" s="131" t="s">
        <v>1391</v>
      </c>
      <c r="N97" s="131" t="s">
        <v>1488</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1107</v>
      </c>
      <c r="B98" s="131" t="s">
        <v>1392</v>
      </c>
      <c r="C98" s="131" t="s">
        <v>1089</v>
      </c>
      <c r="D98" s="131" t="s">
        <v>1406</v>
      </c>
      <c r="E98" s="131" t="s">
        <v>1389</v>
      </c>
      <c r="F98" s="131" t="s">
        <v>1392</v>
      </c>
      <c r="M98" s="131" t="s">
        <v>1393</v>
      </c>
      <c r="N98" s="131" t="s">
        <v>1488</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1107</v>
      </c>
      <c r="B99" s="131" t="s">
        <v>1394</v>
      </c>
      <c r="C99" s="131" t="s">
        <v>1089</v>
      </c>
      <c r="D99" s="131" t="s">
        <v>1406</v>
      </c>
      <c r="E99" s="131" t="s">
        <v>1389</v>
      </c>
      <c r="F99" s="131" t="s">
        <v>1394</v>
      </c>
      <c r="M99" s="131" t="s">
        <v>1395</v>
      </c>
      <c r="N99" s="131" t="s">
        <v>1488</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1107</v>
      </c>
      <c r="B100" s="131" t="s">
        <v>1396</v>
      </c>
      <c r="C100" s="131" t="s">
        <v>1089</v>
      </c>
      <c r="D100" s="131" t="s">
        <v>1406</v>
      </c>
      <c r="E100" s="131" t="s">
        <v>1389</v>
      </c>
      <c r="F100" s="131" t="s">
        <v>1396</v>
      </c>
      <c r="M100" s="131" t="s">
        <v>1397</v>
      </c>
      <c r="N100" s="131" t="s">
        <v>1488</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94" t="s">
        <v>976</v>
      </c>
      <c r="B1" s="94" t="s">
        <v>979</v>
      </c>
      <c r="C1" s="94" t="s">
        <v>977</v>
      </c>
      <c r="D1" s="94" t="s">
        <v>1312</v>
      </c>
      <c r="E1" s="94" t="s">
        <v>975</v>
      </c>
      <c r="F1" s="94" t="s">
        <v>341</v>
      </c>
      <c r="G1" s="94" t="s">
        <v>1288</v>
      </c>
      <c r="H1" s="94" t="s">
        <v>531</v>
      </c>
      <c r="I1" s="140" t="s">
        <v>559</v>
      </c>
      <c r="J1" s="140" t="s">
        <v>560</v>
      </c>
      <c r="K1" s="140" t="s">
        <v>1313</v>
      </c>
      <c r="L1" s="94" t="s">
        <v>123</v>
      </c>
      <c r="M1" s="94" t="s">
        <v>569</v>
      </c>
      <c r="N1" s="94" t="s">
        <v>570</v>
      </c>
      <c r="O1" s="94" t="s">
        <v>571</v>
      </c>
      <c r="P1" s="94" t="s">
        <v>572</v>
      </c>
      <c r="Q1" s="94" t="s">
        <v>573</v>
      </c>
      <c r="R1" s="94" t="s">
        <v>574</v>
      </c>
      <c r="S1" s="94" t="s">
        <v>575</v>
      </c>
      <c r="T1" s="94" t="s">
        <v>576</v>
      </c>
      <c r="U1" s="94" t="s">
        <v>532</v>
      </c>
      <c r="V1" s="94" t="s">
        <v>1287</v>
      </c>
      <c r="W1" s="94" t="s">
        <v>533</v>
      </c>
      <c r="X1" s="94" t="s">
        <v>774</v>
      </c>
      <c r="Y1" s="94" t="s">
        <v>601</v>
      </c>
    </row>
    <row r="2" spans="1:25">
      <c r="B2" t="s">
        <v>1290</v>
      </c>
      <c r="C2" t="s">
        <v>1135</v>
      </c>
      <c r="D2" t="s">
        <v>1025</v>
      </c>
      <c r="E2">
        <v>1</v>
      </c>
      <c r="F2" t="s">
        <v>1025</v>
      </c>
      <c r="G2" t="s">
        <v>1291</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1292</v>
      </c>
      <c r="I4" s="83">
        <v>43724</v>
      </c>
      <c r="J4" s="83">
        <v>43727</v>
      </c>
      <c r="V4" t="s">
        <v>1293</v>
      </c>
      <c r="X4" s="84">
        <v>1</v>
      </c>
      <c r="Y4" s="84">
        <v>1</v>
      </c>
    </row>
    <row r="5" spans="1:25">
      <c r="B5" s="84">
        <v>0.45</v>
      </c>
      <c r="C5" t="s">
        <v>1138</v>
      </c>
      <c r="D5" t="s">
        <v>1107</v>
      </c>
      <c r="E5">
        <v>3</v>
      </c>
      <c r="F5" t="s">
        <v>1101</v>
      </c>
      <c r="G5" t="s">
        <v>1294</v>
      </c>
      <c r="I5" s="83">
        <v>43728</v>
      </c>
      <c r="J5" s="83">
        <v>43728</v>
      </c>
      <c r="K5" s="83" t="s">
        <v>1314</v>
      </c>
      <c r="Q5" s="83"/>
      <c r="X5" s="84">
        <v>1</v>
      </c>
      <c r="Y5" s="84">
        <v>1</v>
      </c>
    </row>
    <row r="6" spans="1:25">
      <c r="B6" s="93">
        <v>0.43330000000000002</v>
      </c>
      <c r="C6" t="s">
        <v>1139</v>
      </c>
      <c r="D6" t="s">
        <v>1108</v>
      </c>
      <c r="E6">
        <v>3</v>
      </c>
      <c r="F6" t="s">
        <v>1122</v>
      </c>
      <c r="G6" t="s">
        <v>1120</v>
      </c>
      <c r="I6" s="83">
        <v>43724</v>
      </c>
      <c r="J6" s="83">
        <v>43726</v>
      </c>
      <c r="V6" t="s">
        <v>1295</v>
      </c>
      <c r="X6">
        <v>0</v>
      </c>
      <c r="Y6">
        <v>0</v>
      </c>
    </row>
    <row r="7" spans="1:25">
      <c r="C7" t="s">
        <v>1140</v>
      </c>
      <c r="D7" t="s">
        <v>1109</v>
      </c>
      <c r="E7">
        <v>3</v>
      </c>
      <c r="F7" t="s">
        <v>1123</v>
      </c>
      <c r="G7" t="s">
        <v>1121</v>
      </c>
      <c r="I7" s="83">
        <v>43727</v>
      </c>
      <c r="J7" s="83">
        <v>43728</v>
      </c>
      <c r="V7" t="s">
        <v>1295</v>
      </c>
      <c r="X7">
        <v>0</v>
      </c>
      <c r="Y7">
        <v>0</v>
      </c>
    </row>
    <row r="8" spans="1:25">
      <c r="C8" t="s">
        <v>1141</v>
      </c>
      <c r="D8" t="s">
        <v>1110</v>
      </c>
      <c r="E8">
        <v>2</v>
      </c>
      <c r="F8" t="s">
        <v>1102</v>
      </c>
      <c r="G8" t="s">
        <v>1296</v>
      </c>
      <c r="I8" s="83">
        <v>43731</v>
      </c>
      <c r="J8" s="83">
        <v>43749</v>
      </c>
      <c r="X8">
        <v>0</v>
      </c>
      <c r="Y8">
        <v>0</v>
      </c>
    </row>
    <row r="9" spans="1:25">
      <c r="C9" t="s">
        <v>1142</v>
      </c>
      <c r="D9" t="s">
        <v>1111</v>
      </c>
      <c r="E9">
        <v>3</v>
      </c>
      <c r="F9" t="s">
        <v>1103</v>
      </c>
      <c r="G9" t="s">
        <v>1297</v>
      </c>
      <c r="I9" s="83">
        <v>43731</v>
      </c>
      <c r="J9" s="83">
        <v>43735</v>
      </c>
      <c r="V9" t="s">
        <v>1298</v>
      </c>
      <c r="X9">
        <v>0</v>
      </c>
      <c r="Y9">
        <v>0</v>
      </c>
    </row>
    <row r="10" spans="1:25">
      <c r="C10" t="s">
        <v>1143</v>
      </c>
      <c r="D10" t="s">
        <v>1112</v>
      </c>
      <c r="E10">
        <v>3</v>
      </c>
      <c r="F10" t="s">
        <v>1124</v>
      </c>
      <c r="G10" t="s">
        <v>1299</v>
      </c>
      <c r="I10" s="83">
        <v>43738</v>
      </c>
      <c r="J10" s="83">
        <v>43749</v>
      </c>
      <c r="V10" t="s">
        <v>1298</v>
      </c>
      <c r="X10">
        <v>0</v>
      </c>
      <c r="Y10">
        <v>0</v>
      </c>
    </row>
    <row r="11" spans="1:25">
      <c r="D11" t="s">
        <v>1113</v>
      </c>
      <c r="E11">
        <v>2</v>
      </c>
      <c r="F11" t="s">
        <v>1104</v>
      </c>
      <c r="G11" t="s">
        <v>1300</v>
      </c>
      <c r="I11" s="83">
        <v>43752</v>
      </c>
      <c r="J11" s="83">
        <v>43777</v>
      </c>
      <c r="X11">
        <v>0</v>
      </c>
      <c r="Y11">
        <v>0</v>
      </c>
    </row>
    <row r="12" spans="1:25">
      <c r="D12" t="s">
        <v>1114</v>
      </c>
      <c r="E12">
        <v>3</v>
      </c>
      <c r="F12" t="s">
        <v>1105</v>
      </c>
      <c r="G12" t="s">
        <v>1301</v>
      </c>
      <c r="I12" s="83">
        <v>43752</v>
      </c>
      <c r="J12" s="83">
        <v>43770</v>
      </c>
      <c r="X12">
        <v>0</v>
      </c>
      <c r="Y12">
        <v>0</v>
      </c>
    </row>
    <row r="13" spans="1:25">
      <c r="D13" t="s">
        <v>1115</v>
      </c>
      <c r="E13">
        <v>3</v>
      </c>
      <c r="F13" t="s">
        <v>1125</v>
      </c>
      <c r="G13" t="s">
        <v>1302</v>
      </c>
      <c r="I13" s="83">
        <v>43773</v>
      </c>
      <c r="J13" s="83">
        <v>43777</v>
      </c>
      <c r="V13" t="s">
        <v>1303</v>
      </c>
      <c r="X13">
        <v>0</v>
      </c>
      <c r="Y13">
        <v>0</v>
      </c>
    </row>
    <row r="14" spans="1:25">
      <c r="D14" t="s">
        <v>1116</v>
      </c>
      <c r="E14">
        <v>2</v>
      </c>
      <c r="F14" t="s">
        <v>1126</v>
      </c>
      <c r="G14" t="s">
        <v>1304</v>
      </c>
      <c r="I14" s="83">
        <v>43780</v>
      </c>
      <c r="J14" s="83">
        <v>43791</v>
      </c>
      <c r="X14">
        <v>0</v>
      </c>
      <c r="Y14">
        <v>0</v>
      </c>
    </row>
    <row r="15" spans="1:25">
      <c r="D15" t="s">
        <v>1117</v>
      </c>
      <c r="E15">
        <v>3</v>
      </c>
      <c r="F15" t="s">
        <v>1127</v>
      </c>
      <c r="G15" t="s">
        <v>1305</v>
      </c>
      <c r="I15" s="83">
        <v>43780</v>
      </c>
      <c r="J15" s="83">
        <v>43784</v>
      </c>
      <c r="V15" t="s">
        <v>1306</v>
      </c>
      <c r="X15">
        <v>0</v>
      </c>
      <c r="Y15">
        <v>0</v>
      </c>
    </row>
    <row r="16" spans="1:25">
      <c r="D16" t="s">
        <v>1118</v>
      </c>
      <c r="E16">
        <v>3</v>
      </c>
      <c r="F16" t="s">
        <v>1128</v>
      </c>
      <c r="G16" t="s">
        <v>1307</v>
      </c>
      <c r="I16" s="83">
        <v>43787</v>
      </c>
      <c r="J16" s="83">
        <v>43789</v>
      </c>
      <c r="K16" s="83" t="s">
        <v>1315</v>
      </c>
      <c r="V16" t="s">
        <v>1308</v>
      </c>
      <c r="X16">
        <v>0</v>
      </c>
      <c r="Y16">
        <v>0</v>
      </c>
    </row>
    <row r="17" spans="4:25">
      <c r="D17" t="s">
        <v>1119</v>
      </c>
      <c r="E17">
        <v>3</v>
      </c>
      <c r="F17" t="s">
        <v>1129</v>
      </c>
      <c r="G17" t="s">
        <v>1309</v>
      </c>
      <c r="I17" s="83">
        <v>43790</v>
      </c>
      <c r="J17" s="83">
        <v>43791</v>
      </c>
      <c r="V17" t="s">
        <v>1310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brothergive@naver.com</cp:lastModifiedBy>
  <cp:lastPrinted>2021-01-01T13:36:29Z</cp:lastPrinted>
  <dcterms:created xsi:type="dcterms:W3CDTF">2018-02-18T09:45:14Z</dcterms:created>
  <dcterms:modified xsi:type="dcterms:W3CDTF">2021-02-17T02:09:47Z</dcterms:modified>
</cp:coreProperties>
</file>